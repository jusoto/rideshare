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udit-my.sharepoint.com/personal/jsoto128_fiu_edu/Documents/"/>
    </mc:Choice>
  </mc:AlternateContent>
  <xr:revisionPtr revIDLastSave="0" documentId="8_{10550058-ABC1-4E55-BD73-104D5DF99589}" xr6:coauthVersionLast="47" xr6:coauthVersionMax="47" xr10:uidLastSave="{00000000-0000-0000-0000-000000000000}"/>
  <bookViews>
    <workbookView xWindow="13215" yWindow="-16200" windowWidth="14610" windowHeight="15585" firstSheet="4" activeTab="4" xr2:uid="{48728BEC-2F70-467A-A3CE-41EF56742C55}"/>
  </bookViews>
  <sheets>
    <sheet name="log_v1_051524_tc_1" sheetId="2" r:id="rId1"/>
    <sheet name="log_v1_051524_tc_2" sheetId="3" r:id="rId2"/>
    <sheet name="log_v1_051524_tc_3" sheetId="4" r:id="rId3"/>
    <sheet name="log_v1_051524_tc_4" sheetId="5" r:id="rId4"/>
    <sheet name="log_v1_051524_tc_5" sheetId="6" r:id="rId5"/>
    <sheet name="Sheet1" sheetId="1" r:id="rId6"/>
  </sheets>
  <definedNames>
    <definedName name="ExternalData_1" localSheetId="0" hidden="1">log_v1_051524_tc_1!$A$1:$AR$42</definedName>
    <definedName name="ExternalData_1" localSheetId="1" hidden="1">log_v1_051524_tc_2!$A$1:$AR$28</definedName>
    <definedName name="ExternalData_2" localSheetId="2" hidden="1">log_v1_051524_tc_3!$A$1:$AR$27</definedName>
    <definedName name="ExternalData_3" localSheetId="3" hidden="1">log_v1_051524_tc_4!$A$1:$AR$411</definedName>
    <definedName name="ExternalData_4" localSheetId="4" hidden="1">log_v1_051524_tc_5!$A$1:$AR$31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6" l="1"/>
  <c r="O32" i="6"/>
  <c r="P29" i="3"/>
  <c r="O29" i="3"/>
  <c r="I29" i="3"/>
  <c r="E29" i="3"/>
  <c r="P28" i="4"/>
  <c r="O28" i="4"/>
  <c r="I28" i="4"/>
  <c r="E28" i="4"/>
  <c r="P412" i="5"/>
  <c r="O412" i="5"/>
  <c r="I412" i="5"/>
  <c r="E412" i="5"/>
  <c r="I32" i="6"/>
  <c r="E32" i="6"/>
  <c r="P43" i="2"/>
  <c r="O43" i="2"/>
  <c r="I43" i="2"/>
  <c r="E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31D2F-3EC9-44CF-BF31-A23A1886CA7A}" keepAlive="1" name="Query - log_v1_051524_tc_1" description="Connection to the 'log_v1_051524_tc_1' query in the workbook." type="5" refreshedVersion="8" background="1" saveData="1">
    <dbPr connection="Provider=Microsoft.Mashup.OleDb.1;Data Source=$Workbook$;Location=log_v1_051524_tc_1;Extended Properties=&quot;&quot;" command="SELECT * FROM [log_v1_051524_tc_1]"/>
  </connection>
  <connection id="2" xr16:uid="{D048A778-3461-48AD-A806-6222B328F7D9}" keepAlive="1" name="Query - log_v1_051524_tc_2" description="Connection to the 'log_v1_051524_tc_2' query in the workbook." type="5" refreshedVersion="8" background="1" saveData="1">
    <dbPr connection="Provider=Microsoft.Mashup.OleDb.1;Data Source=$Workbook$;Location=log_v1_051524_tc_2;Extended Properties=&quot;&quot;" command="SELECT * FROM [log_v1_051524_tc_2]"/>
  </connection>
  <connection id="3" xr16:uid="{83D52EA6-A3E4-4EFC-BE3B-C8ADBF5E3FD5}" keepAlive="1" name="Query - log_v1_051524_tc_3" description="Connection to the 'log_v1_051524_tc_3' query in the workbook." type="5" refreshedVersion="8" background="1" saveData="1">
    <dbPr connection="Provider=Microsoft.Mashup.OleDb.1;Data Source=$Workbook$;Location=log_v1_051524_tc_3;Extended Properties=&quot;&quot;" command="SELECT * FROM [log_v1_051524_tc_3]"/>
  </connection>
  <connection id="4" xr16:uid="{B5B76182-79EB-44FE-A22A-7FCD97076E43}" keepAlive="1" name="Query - log_v1_051524_tc_4" description="Connection to the 'log_v1_051524_tc_4' query in the workbook." type="5" refreshedVersion="8" background="1" saveData="1">
    <dbPr connection="Provider=Microsoft.Mashup.OleDb.1;Data Source=$Workbook$;Location=log_v1_051524_tc_4;Extended Properties=&quot;&quot;" command="SELECT * FROM [log_v1_051524_tc_4]"/>
  </connection>
  <connection id="5" xr16:uid="{1FD0C643-B56D-4BD3-8428-A25EA3618AB0}" keepAlive="1" name="Query - log_v1_051524_tc_5" description="Connection to the 'log_v1_051524_tc_5' query in the workbook." type="5" refreshedVersion="8" background="1" saveData="1">
    <dbPr connection="Provider=Microsoft.Mashup.OleDb.1;Data Source=$Workbook$;Location=log_v1_051524_tc_5;Extended Properties=&quot;&quot;" command="SELECT * FROM [log_v1_051524_tc_5]"/>
  </connection>
</connections>
</file>

<file path=xl/sharedStrings.xml><?xml version="1.0" encoding="utf-8"?>
<sst xmlns="http://schemas.openxmlformats.org/spreadsheetml/2006/main" count="19444" uniqueCount="772">
  <si>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</si>
  <si>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</si>
  <si>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</si>
  <si>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</si>
  <si>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</si>
  <si>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</si>
  <si>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</si>
  <si>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</si>
  <si>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</si>
  <si>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</si>
  <si>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</si>
  <si>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</si>
  <si>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</si>
  <si>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</si>
  <si>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</si>
  <si>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</si>
  <si>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</si>
  <si>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</si>
  <si>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</si>
  <si>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</si>
  <si>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</si>
  <si>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</si>
  <si>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</si>
  <si>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</si>
  <si>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</si>
  <si>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</si>
  <si>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</si>
  <si>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</si>
  <si>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</si>
  <si>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</si>
  <si>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</si>
  <si>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</si>
  <si>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</si>
  <si>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</si>
  <si>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</si>
  <si>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</si>
  <si>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</si>
  <si>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</si>
  <si>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</si>
  <si>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</si>
  <si>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</si>
  <si>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</si>
  <si>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</si>
  <si>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</si>
  <si>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CPU</t>
  </si>
  <si>
    <t>Usage:</t>
  </si>
  <si>
    <t>|</t>
  </si>
  <si>
    <t>Memory</t>
  </si>
  <si>
    <t>I/O</t>
  </si>
  <si>
    <t>Usage</t>
  </si>
  <si>
    <t>(read</t>
  </si>
  <si>
    <t>write):</t>
  </si>
  <si>
    <t>Docker</t>
  </si>
  <si>
    <t>Stats:</t>
  </si>
  <si>
    <t>Load</t>
  </si>
  <si>
    <t>Average:</t>
  </si>
  <si>
    <t>1.45,</t>
  </si>
  <si>
    <t>2.32,</t>
  </si>
  <si>
    <t>Process</t>
  </si>
  <si>
    <t>Count:</t>
  </si>
  <si>
    <t>Network</t>
  </si>
  <si>
    <t>Disk</t>
  </si>
  <si>
    <t>Latency:</t>
  </si>
  <si>
    <t>Read:3.45</t>
  </si>
  <si>
    <t>Write:8.27</t>
  </si>
  <si>
    <t>Min:1.696/1.842/2.063/0.130</t>
  </si>
  <si>
    <t>Avg:ms</t>
  </si>
  <si>
    <t>Max:</t>
  </si>
  <si>
    <t>1.33,</t>
  </si>
  <si>
    <t>2.28,</t>
  </si>
  <si>
    <t>Min:1.552/1.981/2.323/0.260</t>
  </si>
  <si>
    <t>1.39,</t>
  </si>
  <si>
    <t>Min:1.651/1.961/2.105/0.162</t>
  </si>
  <si>
    <t>Min:1.420/1.564/1.721/0.116</t>
  </si>
  <si>
    <t>1.44,</t>
  </si>
  <si>
    <t>2.27,</t>
  </si>
  <si>
    <t>Min:1.609/1.696/1.889/0.105</t>
  </si>
  <si>
    <t>1.56,</t>
  </si>
  <si>
    <t>2.29,</t>
  </si>
  <si>
    <t>Min:1.595/1.732/1.926/0.108</t>
  </si>
  <si>
    <t>2.25,</t>
  </si>
  <si>
    <t>Min:1.513/1.632/1.722/0.068</t>
  </si>
  <si>
    <t>1.32,</t>
  </si>
  <si>
    <t>2.21,</t>
  </si>
  <si>
    <t>Min:1.372/1.693/2.061/0.218</t>
  </si>
  <si>
    <t>1.22,</t>
  </si>
  <si>
    <t>2.17,</t>
  </si>
  <si>
    <t>Min:1.648/1.835/2.081/0.155</t>
  </si>
  <si>
    <t>1.20,</t>
  </si>
  <si>
    <t>2.15,</t>
  </si>
  <si>
    <t>Min:1.504/1.708/1.863/0.130</t>
  </si>
  <si>
    <t>Min:1.581/1.722/1.884/0.105</t>
  </si>
  <si>
    <t>1.10,</t>
  </si>
  <si>
    <t>2.12,</t>
  </si>
  <si>
    <t>Min:1.697/1.855/1.984/0.100</t>
  </si>
  <si>
    <t>1.09,</t>
  </si>
  <si>
    <t>2.10,</t>
  </si>
  <si>
    <t>Min:1.683/1.946/2.108/0.173</t>
  </si>
  <si>
    <t>1.01,</t>
  </si>
  <si>
    <t>2.06,</t>
  </si>
  <si>
    <t>Min:1.663/1.824/2.141/0.169</t>
  </si>
  <si>
    <t>2.11,</t>
  </si>
  <si>
    <t>Min:1.544/1.649/1.771/0.075</t>
  </si>
  <si>
    <t>2.08,</t>
  </si>
  <si>
    <t>Min:1.272/1.743/2.142/0.285</t>
  </si>
  <si>
    <t>Min:1.585/1.701/1.933/0.123</t>
  </si>
  <si>
    <t>1.12,</t>
  </si>
  <si>
    <t>2.04,</t>
  </si>
  <si>
    <t>Min:1.587/1.714/1.808/0.102</t>
  </si>
  <si>
    <t>1.03,</t>
  </si>
  <si>
    <t>2.01,</t>
  </si>
  <si>
    <t>Min:1.360/1.813/2.194/0.319</t>
  </si>
  <si>
    <t>1.27,</t>
  </si>
  <si>
    <t>Min:1.479/1.694/1.888/0.156</t>
  </si>
  <si>
    <t>1.17,</t>
  </si>
  <si>
    <t>Min:1.521/1.824/2.120/0.203</t>
  </si>
  <si>
    <t>1.15,</t>
  </si>
  <si>
    <t>1.99,</t>
  </si>
  <si>
    <t>Min:1.652/1.783/2.028/0.149</t>
  </si>
  <si>
    <t>1.06,</t>
  </si>
  <si>
    <t>1.96,</t>
  </si>
  <si>
    <t>Min:1.603/1.876/2.143/0.189</t>
  </si>
  <si>
    <t>Min:1.417/1.644/1.911/0.165</t>
  </si>
  <si>
    <t>0.98,</t>
  </si>
  <si>
    <t>1.92,</t>
  </si>
  <si>
    <t>Min:1.462/1.772/2.109/0.213</t>
  </si>
  <si>
    <t>0.90,</t>
  </si>
  <si>
    <t>1.89,</t>
  </si>
  <si>
    <t>Min:1.669/1.923/2.110/0.165</t>
  </si>
  <si>
    <t>0.91,</t>
  </si>
  <si>
    <t>1.88,</t>
  </si>
  <si>
    <t>Min:1.469/1.787/2.104/0.245</t>
  </si>
  <si>
    <t>1.47,</t>
  </si>
  <si>
    <t>1.98,</t>
  </si>
  <si>
    <t>Min:1.605/1.894/2.203/0.196</t>
  </si>
  <si>
    <t>Min:1.285/1.649/2.139/0.281</t>
  </si>
  <si>
    <t>Min:1.409/1.636/1.881/0.159</t>
  </si>
  <si>
    <t>1.72,</t>
  </si>
  <si>
    <t>Min:1.755/1.843/1.961/0.075</t>
  </si>
  <si>
    <t>1.58,</t>
  </si>
  <si>
    <t>Min:1.574/1.668/1.776/0.073</t>
  </si>
  <si>
    <t>1.70,</t>
  </si>
  <si>
    <t>2.00,</t>
  </si>
  <si>
    <t>Min:1.337/1.712/1.924/0.198</t>
  </si>
  <si>
    <t>1.64,</t>
  </si>
  <si>
    <t>Min:1.550/1.877/2.057/0.183</t>
  </si>
  <si>
    <t>1.51,</t>
  </si>
  <si>
    <t>1.95,</t>
  </si>
  <si>
    <t>Min:1.486/1.675/1.877/0.166</t>
  </si>
  <si>
    <t>1.91,</t>
  </si>
  <si>
    <t>Min:1.294/1.656/1.950/0.266</t>
  </si>
  <si>
    <t>Min:1.355/1.588/1.760/0.180</t>
  </si>
  <si>
    <t>1.28,</t>
  </si>
  <si>
    <t>Min:1.539/1.610/1.701/0.055</t>
  </si>
  <si>
    <t>1.25,</t>
  </si>
  <si>
    <t>1.87,</t>
  </si>
  <si>
    <t>Min:1.458/1.720/1.939/0.167</t>
  </si>
  <si>
    <t>1.84,</t>
  </si>
  <si>
    <t>Min:1.407/1.763/2.138/0.232</t>
  </si>
  <si>
    <t>1.81,</t>
  </si>
  <si>
    <t>Min:1.552/1.632/1.743/0.072</t>
  </si>
  <si>
    <t>0.62,</t>
  </si>
  <si>
    <t>1.57,</t>
  </si>
  <si>
    <t>Min:1.739/1.944/2.097/0.135</t>
  </si>
  <si>
    <t>0.57,</t>
  </si>
  <si>
    <t>1.54,</t>
  </si>
  <si>
    <t>Min:1.503/1.819/2.087/0.243</t>
  </si>
  <si>
    <t>0.53,</t>
  </si>
  <si>
    <t>1.52,</t>
  </si>
  <si>
    <t>Min:1.188/1.619/1.856/0.245</t>
  </si>
  <si>
    <t>Min:1.477/1.657/1.870/0.149</t>
  </si>
  <si>
    <t>0.81,</t>
  </si>
  <si>
    <t>Min:1.409/1.704/1.892/0.180</t>
  </si>
  <si>
    <t>0.82,</t>
  </si>
  <si>
    <t>1.55,</t>
  </si>
  <si>
    <t>Min:1.399/1.692/2.018/0.196</t>
  </si>
  <si>
    <t>0.76,</t>
  </si>
  <si>
    <t>Min:1.276/1.604/1.853/0.207</t>
  </si>
  <si>
    <t>0.69,</t>
  </si>
  <si>
    <t>1.50,</t>
  </si>
  <si>
    <t>Min:1.319/1.520/1.785/0.178</t>
  </si>
  <si>
    <t>0.64,</t>
  </si>
  <si>
    <t>Min:1.467/1.627/1.799/0.115</t>
  </si>
  <si>
    <t>Min:1.363/1.712/1.893/0.188</t>
  </si>
  <si>
    <t>0.59,</t>
  </si>
  <si>
    <t>Min:1.441/1.676/1.893/0.194</t>
  </si>
  <si>
    <t>1.62,</t>
  </si>
  <si>
    <t>Min:1.429/1.614/1.819/0.163</t>
  </si>
  <si>
    <t>1.38,</t>
  </si>
  <si>
    <t>1.60,</t>
  </si>
  <si>
    <t>Min:1.446/1.541/1.754/0.111</t>
  </si>
  <si>
    <t>Min:1.586/1.816/2.108/0.237</t>
  </si>
  <si>
    <t>1.41,</t>
  </si>
  <si>
    <t>1.59,</t>
  </si>
  <si>
    <t>Min:1.563/1.748/2.112/0.203</t>
  </si>
  <si>
    <t>1.30,</t>
  </si>
  <si>
    <t>Min:1.499/1.683/1.862/0.144</t>
  </si>
  <si>
    <t>Min:1.469/1.784/2.100/0.238</t>
  </si>
  <si>
    <t>1.19,</t>
  </si>
  <si>
    <t>Min:1.456/1.649/1.923/0.187</t>
  </si>
  <si>
    <t>Min:1.523/1.592/1.664/0.057</t>
  </si>
  <si>
    <t>Min:1.329/1.606/1.860/0.191</t>
  </si>
  <si>
    <t>1.00,</t>
  </si>
  <si>
    <t>1.48,</t>
  </si>
  <si>
    <t>Min:1.555/1.796/2.075/0.166</t>
  </si>
  <si>
    <t>0.92,</t>
  </si>
  <si>
    <t>1.46,</t>
  </si>
  <si>
    <t>Min:1.553/1.713/1.998/0.176</t>
  </si>
  <si>
    <t>Min:1.483/1.701/1.924/0.161</t>
  </si>
  <si>
    <t>Min:1.356/1.576/2.024/0.237</t>
  </si>
  <si>
    <t>0.93,</t>
  </si>
  <si>
    <t>Min:1.413/1.681/1.772/0.135</t>
  </si>
  <si>
    <t>0.85,</t>
  </si>
  <si>
    <t>1.42,</t>
  </si>
  <si>
    <t>Min:1.697/1.955/2.341/0.226</t>
  </si>
  <si>
    <t>0.78,</t>
  </si>
  <si>
    <t>Min:1.561/1.831/2.092/0.196</t>
  </si>
  <si>
    <t>0.21,</t>
  </si>
  <si>
    <t>Min:1.538/1.785/2.094/0.188</t>
  </si>
  <si>
    <t>Min:1.359/1.693/2.013/0.264</t>
  </si>
  <si>
    <t>0.20,</t>
  </si>
  <si>
    <t>1.04,</t>
  </si>
  <si>
    <t>Min:1.435/1.622/1.749/0.104</t>
  </si>
  <si>
    <t>0.18,</t>
  </si>
  <si>
    <t>1.02,</t>
  </si>
  <si>
    <t>Min:1.487/1.664/1.956/0.176</t>
  </si>
  <si>
    <t>0.25,</t>
  </si>
  <si>
    <t>Min:1.406/1.723/1.978/0.218</t>
  </si>
  <si>
    <t>0.47,</t>
  </si>
  <si>
    <t>Min:1.279/1.625/1.938/0.234</t>
  </si>
  <si>
    <t>0.43,</t>
  </si>
  <si>
    <t>Min:1.486/1.690/2.310/0.312</t>
  </si>
  <si>
    <t>0.39,</t>
  </si>
  <si>
    <t>Min:1.404/1.474/1.589/0.062</t>
  </si>
  <si>
    <t>Min:1.260/1.538/1.643/0.142</t>
  </si>
  <si>
    <t>0.36,</t>
  </si>
  <si>
    <t>Min:1.595/1.728/2.035/0.172</t>
  </si>
  <si>
    <t>0.33,</t>
  </si>
  <si>
    <t>0.99,</t>
  </si>
  <si>
    <t>Min:1.365/1.470/1.572/0.079</t>
  </si>
  <si>
    <t>0.31,</t>
  </si>
  <si>
    <t>0.97,</t>
  </si>
  <si>
    <t>Min:1.368/1.670/2.231/0.319</t>
  </si>
  <si>
    <t>0.28,</t>
  </si>
  <si>
    <t>0.95,</t>
  </si>
  <si>
    <t>Min:1.462/1.815/1.959/0.182</t>
  </si>
  <si>
    <t>0.26,</t>
  </si>
  <si>
    <t>0.94,</t>
  </si>
  <si>
    <t>Min:1.437/1.636/1.969/0.192</t>
  </si>
  <si>
    <t>Min:1.589/1.793/2.117/0.178</t>
  </si>
  <si>
    <t>0.32,</t>
  </si>
  <si>
    <t>Min:1.481/1.696/1.771/0.108</t>
  </si>
  <si>
    <t>0.37,</t>
  </si>
  <si>
    <t>Min:1.316/1.551/1.823/0.164</t>
  </si>
  <si>
    <t>0.34,</t>
  </si>
  <si>
    <t>Min:1.530/1.718/2.030/0.201</t>
  </si>
  <si>
    <t>Min:1.323/1.631/1.860/0.185</t>
  </si>
  <si>
    <t>Min:1.691/1.798/1.913/0.086</t>
  </si>
  <si>
    <t>Min:1.418/1.653/1.916/0.214</t>
  </si>
  <si>
    <t>Min:1.382/1.492/1.593/0.072</t>
  </si>
  <si>
    <t>0.88,</t>
  </si>
  <si>
    <t>Min:1.364/1.564/1.748/0.130</t>
  </si>
  <si>
    <t>0.29,</t>
  </si>
  <si>
    <t>0.87,</t>
  </si>
  <si>
    <t>Min:1.687/1.735/1.797/0.037</t>
  </si>
  <si>
    <t>Min:1.332/1.520/1.882/0.191</t>
  </si>
  <si>
    <t>Min:1.314/1.615/1.855/0.196</t>
  </si>
  <si>
    <t>0.77,</t>
  </si>
  <si>
    <t>Min:1.726/1.912/2.054/0.138</t>
  </si>
  <si>
    <t>0.60,</t>
  </si>
  <si>
    <t>Min:1.489/1.756/2.125/0.215</t>
  </si>
  <si>
    <t>0.55,</t>
  </si>
  <si>
    <t>0.80,</t>
  </si>
  <si>
    <t>Min:1.599/1.732/1.924/0.127</t>
  </si>
  <si>
    <t>0.58,</t>
  </si>
  <si>
    <t>Min:1.497/1.760/1.992/0.174</t>
  </si>
  <si>
    <t>0.54,</t>
  </si>
  <si>
    <t>0.79,</t>
  </si>
  <si>
    <t>Min:1.640/1.822/1.958/0.124</t>
  </si>
  <si>
    <t>Min:1.525/1.756/1.917/0.142</t>
  </si>
  <si>
    <t>Min:1.373/1.751/2.026/0.239</t>
  </si>
  <si>
    <t>0.61,</t>
  </si>
  <si>
    <t>Min:1.605/1.686/1.813/0.092</t>
  </si>
  <si>
    <t>Min:1.455/1.639/1.886/0.187</t>
  </si>
  <si>
    <t>Min:1.547/1.779/1.940/0.150</t>
  </si>
  <si>
    <t>0.86,</t>
  </si>
  <si>
    <t>0.84,</t>
  </si>
  <si>
    <t>Min:1.744/1.885/2.088/0.120</t>
  </si>
  <si>
    <t>Min:1.607/1.798/2.001/0.149</t>
  </si>
  <si>
    <t>0.89,</t>
  </si>
  <si>
    <t>Min:1.595/1.819/2.014/0.139</t>
  </si>
  <si>
    <t>Min:1.549/1.890/2.106/0.188</t>
  </si>
  <si>
    <t>1.35,</t>
  </si>
  <si>
    <t>Min:1.670/1.903/2.086/0.156</t>
  </si>
  <si>
    <t>Min:1.630/1.836/1.990/0.143</t>
  </si>
  <si>
    <t>Min:1.549/1.723/1.954/0.137</t>
  </si>
  <si>
    <t>Min:1.563/1.741/1.941/0.166</t>
  </si>
  <si>
    <t>1.26,</t>
  </si>
  <si>
    <t>Min:1.706/1.828/1.960/0.080</t>
  </si>
  <si>
    <t>Min:1.674/1.801/1.980/0.099</t>
  </si>
  <si>
    <t>1.24,</t>
  </si>
  <si>
    <t>Min:1.736/1.800/1.903/0.055</t>
  </si>
  <si>
    <t>Min:1.577/1.787/2.040/0.166</t>
  </si>
  <si>
    <t>Min:1.497/1.708/1.855/0.123</t>
  </si>
  <si>
    <t>Min:1.590/1.723/1.943/0.148</t>
  </si>
  <si>
    <t>1.16,</t>
  </si>
  <si>
    <t>Min:1.510/1.729/1.916/0.147</t>
  </si>
  <si>
    <t>Min:1.567/1.876/2.154/0.244</t>
  </si>
  <si>
    <t>Min:1.685/1.847/1.950/0.112</t>
  </si>
  <si>
    <t>Min:1.599/1.882/2.186/0.234</t>
  </si>
  <si>
    <t>1.05,</t>
  </si>
  <si>
    <t>Min:1.472/1.775/2.045/0.183</t>
  </si>
  <si>
    <t>Min:1.489/1.612/1.817/0.120</t>
  </si>
  <si>
    <t>Min:1.458/1.700/1.981/0.190</t>
  </si>
  <si>
    <t>0.96,</t>
  </si>
  <si>
    <t>Min:1.732/1.899/2.111/0.131</t>
  </si>
  <si>
    <t>Min:1.624/1.814/1.940/0.107</t>
  </si>
  <si>
    <t>1.11,</t>
  </si>
  <si>
    <t>Min:1.717/1.882/2.050/0.117</t>
  </si>
  <si>
    <t>Min:1.837/1.939/2.198/0.133</t>
  </si>
  <si>
    <t>Min:1.582/1.737/1.943/0.147</t>
  </si>
  <si>
    <t>Min:1.672/1.983/2.218/0.187</t>
  </si>
  <si>
    <t>Min:1.713/1.785/1.927/0.085</t>
  </si>
  <si>
    <t>Min:1.521/1.770/2.111/0.203</t>
  </si>
  <si>
    <t>Min:1.643/1.895/2.122/0.171</t>
  </si>
  <si>
    <t>Min:1.489/1.751/2.071/0.222</t>
  </si>
  <si>
    <t>Min:1.850/1.938/1.994/0.049</t>
  </si>
  <si>
    <t>Min:1.580/1.712/1.854/0.109</t>
  </si>
  <si>
    <t>1.34,</t>
  </si>
  <si>
    <t>Min:1.681/1.839/2.122/0.151</t>
  </si>
  <si>
    <t>1.31,</t>
  </si>
  <si>
    <t>Min:1.694/1.814/2.055/0.126</t>
  </si>
  <si>
    <t>Min:1.540/1.793/2.025/0.165</t>
  </si>
  <si>
    <t>1.37,</t>
  </si>
  <si>
    <t>Min:1.707/1.949/2.141/0.169</t>
  </si>
  <si>
    <t>1.07,</t>
  </si>
  <si>
    <t>Min:1.563/1.847/2.062/0.185</t>
  </si>
  <si>
    <t>Min:1.821/1.953/2.186/0.144</t>
  </si>
  <si>
    <t>Min:1.420/1.704/1.850/0.175</t>
  </si>
  <si>
    <t>Min:1.609/1.940/2.304/0.277</t>
  </si>
  <si>
    <t>1.36,</t>
  </si>
  <si>
    <t>Min:1.437/1.701/2.091/0.233</t>
  </si>
  <si>
    <t>Min:1.655/1.802/1.945/0.093</t>
  </si>
  <si>
    <t>Min:1.496/1.885/2.114/0.228</t>
  </si>
  <si>
    <t>Min:1.564/1.830/2.135/0.193</t>
  </si>
  <si>
    <t>Min:1.594/1.890/2.118/0.177</t>
  </si>
  <si>
    <t>Min:1.562/1.659/1.784/0.085</t>
  </si>
  <si>
    <t>Min:1.432/1.778/2.238/0.271</t>
  </si>
  <si>
    <t>Min:1.542/1.814/2.195/0.243</t>
  </si>
  <si>
    <t>Min:1.379/1.569/1.770/0.125</t>
  </si>
  <si>
    <t>1.18,</t>
  </si>
  <si>
    <t>Min:1.436/1.659/1.962/0.206</t>
  </si>
  <si>
    <t>Min:1.373/1.578/1.729/0.161</t>
  </si>
  <si>
    <t>Min:1.559/1.855/2.207/0.219</t>
  </si>
  <si>
    <t>Min:1.355/1.643/1.836/0.171</t>
  </si>
  <si>
    <t>1.08,</t>
  </si>
  <si>
    <t>Min:1.467/1.733/2.022/0.207</t>
  </si>
  <si>
    <t>Min:1.547/1.765/1.949/0.170</t>
  </si>
  <si>
    <t>1.23,</t>
  </si>
  <si>
    <t>Min:1.733/1.874/1.990/0.109</t>
  </si>
  <si>
    <t>1.29,</t>
  </si>
  <si>
    <t>Min:1.582/1.885/2.161/0.192</t>
  </si>
  <si>
    <t>Min:1.756/1.884/1.990/0.089</t>
  </si>
  <si>
    <t>Min:1.550/1.709/1.901/0.138</t>
  </si>
  <si>
    <t>Min:1.441/1.798/2.139/0.221</t>
  </si>
  <si>
    <t>Min:1.628/1.834/1.959/0.121</t>
  </si>
  <si>
    <t>Min:1.532/1.784/2.104/0.208</t>
  </si>
  <si>
    <t>Min:1.442/1.733/2.036/0.194</t>
  </si>
  <si>
    <t>Min:1.636/1.870/2.134/0.172</t>
  </si>
  <si>
    <t>Min:1.511/1.733/2.045/0.180</t>
  </si>
  <si>
    <t>Min:1.434/1.647/1.856/0.136</t>
  </si>
  <si>
    <t>Min:1.585/1.767/1.927/0.139</t>
  </si>
  <si>
    <t>Min:1.603/1.834/2.101/0.161</t>
  </si>
  <si>
    <t>Min:1.582/1.793/1.965/0.127</t>
  </si>
  <si>
    <t>Min:1.659/1.803/1.879/0.081</t>
  </si>
  <si>
    <t>Min:1.565/1.696/1.906/0.123</t>
  </si>
  <si>
    <t>Write:8.26</t>
  </si>
  <si>
    <t>Min:1.375/1.597/1.693/0.114</t>
  </si>
  <si>
    <t>Min:1.512/1.733/1.933/0.185</t>
  </si>
  <si>
    <t>Min:1.837/1.968/2.194/0.125</t>
  </si>
  <si>
    <t>1.21,</t>
  </si>
  <si>
    <t>Min:1.247/1.572/1.943/0.271</t>
  </si>
  <si>
    <t>Min:1.463/1.807/2.076/0.208</t>
  </si>
  <si>
    <t>Min:1.720/1.843/2.060/0.122</t>
  </si>
  <si>
    <t>Min:1.786/1.879/2.008/0.074</t>
  </si>
  <si>
    <t>Min:1.452/1.627/1.941/0.173</t>
  </si>
  <si>
    <t>Min:1.551/1.825/2.141/0.204</t>
  </si>
  <si>
    <t>Min:1.618/1.858/2.157/0.209</t>
  </si>
  <si>
    <t>Min:1.500/1.854/2.130/0.228</t>
  </si>
  <si>
    <t>Min:1.591/1.816/2.111/0.202</t>
  </si>
  <si>
    <t>Min:1.360/1.613/1.751/0.133</t>
  </si>
  <si>
    <t>Min:1.453/1.785/2.161/0.269</t>
  </si>
  <si>
    <t>Min:1.723/1.973/2.335/0.214</t>
  </si>
  <si>
    <t>Min:1.676/1.936/2.232/0.218</t>
  </si>
  <si>
    <t>Min:1.716/1.995/2.239/0.182</t>
  </si>
  <si>
    <t>Min:1.439/1.717/2.000/0.180</t>
  </si>
  <si>
    <t>Min:1.572/1.789/1.950/0.130</t>
  </si>
  <si>
    <t>Min:1.470/1.720/1.908/0.153</t>
  </si>
  <si>
    <t>Min:1.836/1.884/1.959/0.047</t>
  </si>
  <si>
    <t>Min:1.388/1.801/2.069/0.232</t>
  </si>
  <si>
    <t>Min:1.695/1.867/2.067/0.127</t>
  </si>
  <si>
    <t>Min:1.608/1.781/2.028/0.161</t>
  </si>
  <si>
    <t>Min:1.808/1.918/2.142/0.120</t>
  </si>
  <si>
    <t>1.14,</t>
  </si>
  <si>
    <t>Min:1.713/1.807/1.970/0.104</t>
  </si>
  <si>
    <t>1.13,</t>
  </si>
  <si>
    <t>Min:1.790/1.890/1.996/0.069</t>
  </si>
  <si>
    <t>Min:1.587/1.895/2.138/0.188</t>
  </si>
  <si>
    <t>Min:1.601/1.742/1.900/0.125</t>
  </si>
  <si>
    <t>Min:1.709/1.885/1.998/0.108</t>
  </si>
  <si>
    <t>Min:1.556/1.884/2.345/0.271</t>
  </si>
  <si>
    <t>Min:1.518/1.723/1.897/0.121</t>
  </si>
  <si>
    <t>Min:1.384/1.887/2.190/0.271</t>
  </si>
  <si>
    <t>Min:1.847/1.958/2.074/0.074</t>
  </si>
  <si>
    <t>Min:1.788/1.838/1.910/0.045</t>
  </si>
  <si>
    <t>Min:1.468/1.805/2.175/0.273</t>
  </si>
  <si>
    <t>Min:1.705/1.838/2.047/0.117</t>
  </si>
  <si>
    <t>Min:1.475/1.808/2.055/0.222</t>
  </si>
  <si>
    <t>Min:1.432/1.796/1.985/0.204</t>
  </si>
  <si>
    <t>Min:1.827/2.005/2.368/0.195</t>
  </si>
  <si>
    <t>Min:1.513/1.720/2.012/0.203</t>
  </si>
  <si>
    <t>Min:1.654/1.831/1.972/0.111</t>
  </si>
  <si>
    <t>Min:1.641/1.881/2.229/0.214</t>
  </si>
  <si>
    <t>Min:1.748/1.840/1.917/0.058</t>
  </si>
  <si>
    <t>Min:1.739/1.839/2.097/0.130</t>
  </si>
  <si>
    <t>Min:1.549/2.002/2.507/0.306</t>
  </si>
  <si>
    <t>Min:1.769/1.967/2.085/0.106</t>
  </si>
  <si>
    <t>Min:1.691/1.892/2.163/0.155</t>
  </si>
  <si>
    <t>Min:1.541/1.791/2.025/0.183</t>
  </si>
  <si>
    <t>Min:1.506/1.646/1.934/0.149</t>
  </si>
  <si>
    <t>1.53,</t>
  </si>
  <si>
    <t>Min:1.641/1.925/2.099/0.154</t>
  </si>
  <si>
    <t>1.49,</t>
  </si>
  <si>
    <t>Min:1.688/1.971/2.070/0.143</t>
  </si>
  <si>
    <t>Min:1.541/1.692/1.783/0.088</t>
  </si>
  <si>
    <t>Min:1.434/1.714/1.943/0.201</t>
  </si>
  <si>
    <t>Min:1.675/1.815/2.025/0.126</t>
  </si>
  <si>
    <t>Min:1.642/1.853/2.072/0.173</t>
  </si>
  <si>
    <t>Min:1.574/1.757/1.934/0.150</t>
  </si>
  <si>
    <t>Min:1.685/1.802/1.938/0.084</t>
  </si>
  <si>
    <t>Min:1.619/1.861/2.095/0.152</t>
  </si>
  <si>
    <t>Min:1.682/1.813/1.873/0.068</t>
  </si>
  <si>
    <t>Min:1.515/1.791/2.028/0.212</t>
  </si>
  <si>
    <t>Min:1.757/1.816/1.910/0.054</t>
  </si>
  <si>
    <t>Min:1.662/1.829/2.005/0.138</t>
  </si>
  <si>
    <t>Min:1.816/1.935/2.026/0.068</t>
  </si>
  <si>
    <t>Min:1.628/1.879/2.014/0.136</t>
  </si>
  <si>
    <t>Min:1.575/1.661/1.769/0.071</t>
  </si>
  <si>
    <t>Min:1.485/1.778/1.998/0.223</t>
  </si>
  <si>
    <t>Min:1.793/1.919/2.037/0.096</t>
  </si>
  <si>
    <t>Min:1.578/1.892/2.155/0.191</t>
  </si>
  <si>
    <t>Min:1.793/1.969/2.118/0.127</t>
  </si>
  <si>
    <t>Min:1.476/1.781/1.971/0.184</t>
  </si>
  <si>
    <t>Min:1.734/1.926/2.040/0.103</t>
  </si>
  <si>
    <t>Min:1.779/2.001/2.122/0.122</t>
  </si>
  <si>
    <t>Min:1.739/1.828/1.881/0.056</t>
  </si>
  <si>
    <t>Min:1.492/1.777/2.116/0.239</t>
  </si>
  <si>
    <t>Min:1.403/1.676/1.881/0.155</t>
  </si>
  <si>
    <t>Min:1.614/1.893/2.239/0.228</t>
  </si>
  <si>
    <t>Min:1.742/1.897/2.030/0.105</t>
  </si>
  <si>
    <t>1.40,</t>
  </si>
  <si>
    <t>Min:1.528/1.740/1.980/0.143</t>
  </si>
  <si>
    <t>1.61,</t>
  </si>
  <si>
    <t>Min:1.546/1.767/2.059/0.213</t>
  </si>
  <si>
    <t>Min:1.385/1.632/1.795/0.139</t>
  </si>
  <si>
    <t>Min:1.603/1.799/2.133/0.180</t>
  </si>
  <si>
    <t>Min:1.588/1.819/2.019/0.151</t>
  </si>
  <si>
    <t>Min:1.469/1.758/2.068/0.248</t>
  </si>
  <si>
    <t>Min:1.428/1.785/2.189/0.263</t>
  </si>
  <si>
    <t>Min:1.747/1.933/2.143/0.170</t>
  </si>
  <si>
    <t>Min:1.494/1.767/2.017/0.183</t>
  </si>
  <si>
    <t>Min:1.583/1.734/2.054/0.166</t>
  </si>
  <si>
    <t>Min:1.713/1.914/2.079/0.150</t>
  </si>
  <si>
    <t>1.67,</t>
  </si>
  <si>
    <t>Min:1.561/1.929/2.338/0.270</t>
  </si>
  <si>
    <t>Min:1.604/1.850/2.077/0.158</t>
  </si>
  <si>
    <t>1.93,</t>
  </si>
  <si>
    <t>Min:1.605/1.974/2.322/0.232</t>
  </si>
  <si>
    <t>1.86,</t>
  </si>
  <si>
    <t>Min:1.665/1.891/2.158/0.175</t>
  </si>
  <si>
    <t>1.79,</t>
  </si>
  <si>
    <t>Min:1.611/1.747/1.904/0.115</t>
  </si>
  <si>
    <t>Min:1.515/1.988/2.310/0.266</t>
  </si>
  <si>
    <t>1.73,</t>
  </si>
  <si>
    <t>Min:1.649/1.811/2.006/0.140</t>
  </si>
  <si>
    <t>1.75,</t>
  </si>
  <si>
    <t>Min:1.690/1.819/2.081/0.148</t>
  </si>
  <si>
    <t>1.77,</t>
  </si>
  <si>
    <t>Min:1.666/1.862/2.044/0.119</t>
  </si>
  <si>
    <t>Min:1.604/1.877/2.098/0.159</t>
  </si>
  <si>
    <t>Min:1.382/1.716/2.019/0.246</t>
  </si>
  <si>
    <t>Min:1.802/1.925/2.000/0.069</t>
  </si>
  <si>
    <t>Min:1.540/1.720/1.892/0.118</t>
  </si>
  <si>
    <t>1.69,</t>
  </si>
  <si>
    <t>Min:1.686/1.876/1.944/0.099</t>
  </si>
  <si>
    <t>Min:1.781/2.053/2.256/0.203</t>
  </si>
  <si>
    <t>Min:1.730/1.841/1.962/0.074</t>
  </si>
  <si>
    <t>Min:1.446/1.662/1.866/0.137</t>
  </si>
  <si>
    <t>1.43,</t>
  </si>
  <si>
    <t>Min:1.587/1.677/1.768/0.062</t>
  </si>
  <si>
    <t>Min:1.374/1.665/1.769/0.148</t>
  </si>
  <si>
    <t>Min:1.425/1.516/1.618/0.076</t>
  </si>
  <si>
    <t>Min:1.488/1.641/1.787/0.110</t>
  </si>
  <si>
    <t>Min:1.581/1.692/1.786/0.092</t>
  </si>
  <si>
    <t>Min:1.681/1.884/2.097/0.139</t>
  </si>
  <si>
    <t>Min:1.598/1.741/2.021/0.151</t>
  </si>
  <si>
    <t>Min:1.679/1.877/2.130/0.174</t>
  </si>
  <si>
    <t>Min:1.459/1.708/1.988/0.223</t>
  </si>
  <si>
    <t>Min:1.377/1.607/1.789/0.137</t>
  </si>
  <si>
    <t>2.55,</t>
  </si>
  <si>
    <t>Min:1.514/1.920/2.234/0.271</t>
  </si>
  <si>
    <t>2.43,</t>
  </si>
  <si>
    <t>Min:1.554/1.865/2.235/0.221</t>
  </si>
  <si>
    <t>2.31,</t>
  </si>
  <si>
    <t>Min:1.490/1.776/2.212/0.249</t>
  </si>
  <si>
    <t>Min:1.402/1.617/2.039/0.229</t>
  </si>
  <si>
    <t>Min:1.407/1.726/1.982/0.245</t>
  </si>
  <si>
    <t>2.35,</t>
  </si>
  <si>
    <t>Min:1.500/1.771/2.244/0.250</t>
  </si>
  <si>
    <t>2.24,</t>
  </si>
  <si>
    <t>Min:1.429/1.768/2.269/0.286</t>
  </si>
  <si>
    <t>Min:1.587/1.722/2.015/0.167</t>
  </si>
  <si>
    <t>1.97,</t>
  </si>
  <si>
    <t>Min:1.674/1.844/2.105/0.161</t>
  </si>
  <si>
    <t>Min:1.548/1.827/1.985/0.160</t>
  </si>
  <si>
    <t>Min:1.715/1.864/2.045/0.111</t>
  </si>
  <si>
    <t>Min:1.725/1.915/2.104/0.132</t>
  </si>
  <si>
    <t>Min:1.622/1.811/2.058/0.152</t>
  </si>
  <si>
    <t>2.14,</t>
  </si>
  <si>
    <t>Min:1.691/1.790/1.920/0.084</t>
  </si>
  <si>
    <t>2.13,</t>
  </si>
  <si>
    <t>Min:1.714/1.812/1.925/0.083</t>
  </si>
  <si>
    <t>Min:1.618/1.889/2.408/0.286</t>
  </si>
  <si>
    <t>Min:1.523/1.714/1.882/0.115</t>
  </si>
  <si>
    <t>Min:1.626/1.894/2.099/0.180</t>
  </si>
  <si>
    <t>Min:1.664/1.853/2.127/0.168</t>
  </si>
  <si>
    <t>Min:1.868/1.963/2.096/0.090</t>
  </si>
  <si>
    <t>Min:1.618/1.804/1.981/0.140</t>
  </si>
  <si>
    <t>Min:1.772/1.985/2.071/0.108</t>
  </si>
  <si>
    <t>Min:1.848/1.997/2.124/0.100</t>
  </si>
  <si>
    <t>Min:1.584/1.905/2.091/0.210</t>
  </si>
  <si>
    <t>Min:1.752/2.100/2.427/0.274</t>
  </si>
  <si>
    <t>Min:1.608/1.908/2.100/0.172</t>
  </si>
  <si>
    <t>Min:1.570/1.907/2.317/0.270</t>
  </si>
  <si>
    <t>1.66,</t>
  </si>
  <si>
    <t>Min:1.498/1.789/1.978/0.186</t>
  </si>
  <si>
    <t>Min:1.508/1.810/2.117/0.203</t>
  </si>
  <si>
    <t>1.63,</t>
  </si>
  <si>
    <t>Min:1.452/1.739/2.066/0.211</t>
  </si>
  <si>
    <t>Min:1.472/1.833/2.141/0.221</t>
  </si>
  <si>
    <t>Min:1.555/1.728/1.789/0.087</t>
  </si>
  <si>
    <t>Min:1.645/1.902/2.330/0.239</t>
  </si>
  <si>
    <t>Min:1.519/1.631/1.783/0.100</t>
  </si>
  <si>
    <t>Min:1.433/1.838/2.208/0.248</t>
  </si>
  <si>
    <t>Min:1.619/1.812/2.025/0.132</t>
  </si>
  <si>
    <t>Min:1.367/1.704/1.962/0.239</t>
  </si>
  <si>
    <t>Min:1.601/1.801/2.126/0.217</t>
  </si>
  <si>
    <t>Min:1.546/1.774/2.064/0.171</t>
  </si>
  <si>
    <t>Min:1.609/1.808/2.057/0.180</t>
  </si>
  <si>
    <t>Min:1.520/1.783/2.198/0.241</t>
  </si>
  <si>
    <t>Min:1.684/1.775/1.915/0.080</t>
  </si>
  <si>
    <t>Min:1.671/1.855/2.032/0.115</t>
  </si>
  <si>
    <t>Min:1.770/1.942/2.079/0.109</t>
  </si>
  <si>
    <t>Min:1.467/1.811/2.267/0.301</t>
  </si>
  <si>
    <t>Min:1.517/1.877/2.113/0.207</t>
  </si>
  <si>
    <t>Min:1.734/1.840/1.898/0.059</t>
  </si>
  <si>
    <t>Min:1.527/1.816/2.136/0.214</t>
  </si>
  <si>
    <t>Min:1.680/1.877/2.080/0.167</t>
  </si>
  <si>
    <t>Min:1.623/1.729/1.823/0.066</t>
  </si>
  <si>
    <t>Min:1.519/1.757/1.924/0.166</t>
  </si>
  <si>
    <t>Min:1.571/1.786/2.227/0.239</t>
  </si>
  <si>
    <t>Min:1.673/1.790/2.008/0.115</t>
  </si>
  <si>
    <t>Min:1.592/1.789/2.113/0.209</t>
  </si>
  <si>
    <t>Min:1.460/1.677/1.827/0.137</t>
  </si>
  <si>
    <t>Min:1.771/2.011/2.322/0.235</t>
  </si>
  <si>
    <t>Min:1.282/1.694/1.934/0.223</t>
  </si>
  <si>
    <t>Min:1.802/1.888/2.099/0.107</t>
  </si>
  <si>
    <t>Min:1.614/1.763/2.056/0.155</t>
  </si>
  <si>
    <t>Min:1.852/1.982/2.240/0.141</t>
  </si>
  <si>
    <t>Min:1.623/1.876/2.131/0.163</t>
  </si>
  <si>
    <t>Min:1.691/1.898/2.207/0.172</t>
  </si>
  <si>
    <t>Min:1.533/1.856/2.122/0.211</t>
  </si>
  <si>
    <t>Min:1.787/1.905/2.019/0.094</t>
  </si>
  <si>
    <t>Min:1.493/1.704/1.834/0.114</t>
  </si>
  <si>
    <t>Min:1.578/1.830/2.089/0.175</t>
  </si>
  <si>
    <t>Min:1.413/1.615/1.892/0.156</t>
  </si>
  <si>
    <t>Min:1.726/1.868/2.066/0.119</t>
  </si>
  <si>
    <t>Min:1.530/1.735/2.110/0.208</t>
  </si>
  <si>
    <t>Min:1.636/1.769/1.958/0.110</t>
  </si>
  <si>
    <t>Min:1.513/1.860/2.091/0.202</t>
  </si>
  <si>
    <t>Min:1.660/1.803/2.009/0.130</t>
  </si>
  <si>
    <t>Min:1.988/2.084/2.173/0.082</t>
  </si>
  <si>
    <t>Min:1.724/1.872/2.031/0.131</t>
  </si>
  <si>
    <t>Min:1.385/1.822/2.069/0.250</t>
  </si>
  <si>
    <t>Min:1.430/1.846/2.065/0.220</t>
  </si>
  <si>
    <t>Min:1.714/1.781/1.880/0.060</t>
  </si>
  <si>
    <t>Min:1.500/1.677/1.812/0.103</t>
  </si>
  <si>
    <t>Min:1.884/2.007/2.139/0.099</t>
  </si>
  <si>
    <t>Min:1.774/1.836/1.913/0.051</t>
  </si>
  <si>
    <t>Min:1.806/1.960/2.079/0.098</t>
  </si>
  <si>
    <t>Min:1.531/1.783/2.011/0.201</t>
  </si>
  <si>
    <t>Min:1.475/1.676/1.769/0.104</t>
  </si>
  <si>
    <t>Min:1.530/1.767/1.938/0.149</t>
  </si>
  <si>
    <t>Min:1.848/1.975/2.093/0.095</t>
  </si>
  <si>
    <t>Min:1.893/2.019/2.205/0.112</t>
  </si>
  <si>
    <t>Min:1.574/1.843/2.063/0.166</t>
  </si>
  <si>
    <t>Min:1.802/1.931/2.109/0.106</t>
  </si>
  <si>
    <t>Min:1.500/1.822/2.110/0.211</t>
  </si>
  <si>
    <t>Min:1.558/1.744/1.957/0.163</t>
  </si>
  <si>
    <t>Min:1.757/1.863/2.028/0.125</t>
  </si>
  <si>
    <t>Min:1.631/1.737/1.870/0.103</t>
  </si>
  <si>
    <t>Min:1.410/1.702/2.028/0.211</t>
  </si>
  <si>
    <t>Min:1.664/1.859/2.025/0.124</t>
  </si>
  <si>
    <t>Min:1.566/1.817/1.964/0.155</t>
  </si>
  <si>
    <t>Min:1.680/1.842/2.098/0.148</t>
  </si>
  <si>
    <t>Min:1.764/1.888/2.039/0.106</t>
  </si>
  <si>
    <t>Min:1.520/1.729/1.839/0.117</t>
  </si>
  <si>
    <t>Min:1.512/1.892/2.211/0.256</t>
  </si>
  <si>
    <t>Min:1.538/1.743/1.902/0.139</t>
  </si>
  <si>
    <t>Min:1.748/1.815/2.002/0.095</t>
  </si>
  <si>
    <t>Min:1.632/1.814/2.091/0.157</t>
  </si>
  <si>
    <t>Min:1.499/1.809/2.185/0.233</t>
  </si>
  <si>
    <t>Min:1.610/1.902/2.128/0.194</t>
  </si>
  <si>
    <t>Min:1.458/1.889/2.296/0.291</t>
  </si>
  <si>
    <t>Min:1.554/1.764/2.162/0.214</t>
  </si>
  <si>
    <t>Min:1.686/1.818/2.027/0.126</t>
  </si>
  <si>
    <t>Min:1.583/1.705/1.796/0.073</t>
  </si>
  <si>
    <t>1.65,</t>
  </si>
  <si>
    <t>Min:1.519/1.777/2.068/0.189</t>
  </si>
  <si>
    <t>Min:1.504/1.839/2.122/0.218</t>
  </si>
  <si>
    <t>Min:1.659/1.791/2.003/0.134</t>
  </si>
  <si>
    <t>Min:1.383/1.710/1.925/0.192</t>
  </si>
  <si>
    <t>Min:1.647/1.849/1.983/0.147</t>
  </si>
  <si>
    <t>Min:1.623/1.784/2.010/0.130</t>
  </si>
  <si>
    <t>Min:1.649/1.740/1.881/0.088</t>
  </si>
  <si>
    <t>Min:1.486/1.784/2.027/0.179</t>
  </si>
  <si>
    <t>Min:1.470/1.875/2.191/0.267</t>
  </si>
  <si>
    <t>Min:1.687/1.808/1.916/0.086</t>
  </si>
  <si>
    <t>Min:1.677/1.925/2.102/0.152</t>
  </si>
  <si>
    <t>Min:1.610/1.755/2.027/0.156</t>
  </si>
  <si>
    <t>Min:1.493/1.643/1.766/0.089</t>
  </si>
  <si>
    <t>Min:1.571/1.956/2.135/0.205</t>
  </si>
  <si>
    <t>Min:1.772/1.921/2.083/0.110</t>
  </si>
  <si>
    <t>Min:1.708/1.871/2.124/0.169</t>
  </si>
  <si>
    <t>Min:1.584/1.778/2.012/0.169</t>
  </si>
  <si>
    <t>Min:1.725/1.886/2.103/0.124</t>
  </si>
  <si>
    <t>Min:1.649/1.858/2.214/0.196</t>
  </si>
  <si>
    <t>Min:1.559/1.747/2.015/0.184</t>
  </si>
  <si>
    <t>Min:1.499/1.755/2.005/0.165</t>
  </si>
  <si>
    <t>Min:1.645/1.858/2.044/0.166</t>
  </si>
  <si>
    <t>Min:1.743/1.867/2.091/0.124</t>
  </si>
  <si>
    <t>Min:1.597/1.821/2.113/0.189</t>
  </si>
  <si>
    <t>Min:1.698/1.753/1.864/0.057</t>
  </si>
  <si>
    <t>Min:1.621/1.962/2.437/0.304</t>
  </si>
  <si>
    <t>1.68,</t>
  </si>
  <si>
    <t>Min:1.386/1.810/2.081/0.253</t>
  </si>
  <si>
    <t>Min:1.537/1.827/2.004/0.166</t>
  </si>
  <si>
    <t>Min:1.829/1.906/2.028/0.068</t>
  </si>
  <si>
    <t>Min:1.709/1.891/2.061/0.119</t>
  </si>
  <si>
    <t>Min:1.738/1.864/2.133/0.141</t>
  </si>
  <si>
    <t>Min:1.618/1.758/1.998/0.130</t>
  </si>
  <si>
    <t>Min:1.613/1.714/1.928/0.115</t>
  </si>
  <si>
    <t>Min:1.679/1.886/2.159/0.167</t>
  </si>
  <si>
    <t>Min:1.492/1.839/2.042/0.189</t>
  </si>
  <si>
    <t>Min:1.639/1.937/2.178/0.184</t>
  </si>
  <si>
    <t>Min:1.584/1.781/1.899/0.106</t>
  </si>
  <si>
    <t>Min:1.493/1.822/1.985/0.175</t>
  </si>
  <si>
    <t>Min:1.742/1.951/2.182/0.141</t>
  </si>
  <si>
    <t>Min:1.730/1.865/2.028/0.097</t>
  </si>
  <si>
    <t>Min:1.655/1.934/2.116/0.155</t>
  </si>
  <si>
    <t>Min:1.715/1.942/2.225/0.216</t>
  </si>
  <si>
    <t>Min:1.656/1.819/1.997/0.136</t>
  </si>
  <si>
    <t>Min:1.494/1.873/2.200/0.246</t>
  </si>
  <si>
    <t>Min:1.837/1.976/2.134/0.099</t>
  </si>
  <si>
    <t>Min:1.375/1.713/2.005/0.216</t>
  </si>
  <si>
    <t>Min:1.678/1.826/2.015/0.110</t>
  </si>
  <si>
    <t>Min:1.604/1.836/2.200/0.244</t>
  </si>
  <si>
    <t>Min:1.754/1.795/1.829/0.024</t>
  </si>
  <si>
    <t>Min:1.525/1.901/2.089/0.203</t>
  </si>
  <si>
    <t>Min:1.568/1.889/2.154/0.186</t>
  </si>
  <si>
    <t>Min:1.619/1.849/2.264/0.230</t>
  </si>
  <si>
    <t>Min:1.747/1.839/1.939/0.067</t>
  </si>
  <si>
    <t>Min:1.607/1.783/2.091/0.186</t>
  </si>
  <si>
    <t>Min:1.755/1.857/2.086/0.121</t>
  </si>
  <si>
    <t>Min:1.784/1.935/2.180/0.144</t>
  </si>
  <si>
    <t>Min:1.548/1.720/2.074/0.183</t>
  </si>
  <si>
    <t>Min:1.658/1.874/2.181/0.238</t>
  </si>
  <si>
    <t>Min:1.577/1.948/2.252/0.258</t>
  </si>
  <si>
    <t>Min:1.584/1.802/1.993/0.163</t>
  </si>
  <si>
    <t>Min:1.476/1.736/2.085/0.211</t>
  </si>
  <si>
    <t>Min:1.651/1.881/2.193/0.189</t>
  </si>
  <si>
    <t>Min:1.700/1.938/2.165/0.177</t>
  </si>
  <si>
    <t>Min:1.843/2.064/2.373/0.176</t>
  </si>
  <si>
    <t>Min:1.931/2.047/2.207/0.124</t>
  </si>
  <si>
    <t>Min:1.507/1.756/1.928/0.138</t>
  </si>
  <si>
    <t>Min:1.673/1.829/2.231/0.208</t>
  </si>
  <si>
    <t>Min:1.640/1.773/1.914/0.091</t>
  </si>
  <si>
    <t>Min:1.614/1.739/1.897/0.121</t>
  </si>
  <si>
    <t>Min:1.787/1.964/2.213/0.139</t>
  </si>
  <si>
    <t>Min:1.743/1.908/2.231/0.173</t>
  </si>
  <si>
    <t>Min:1.723/1.883/2.023/0.109</t>
  </si>
  <si>
    <t>Min:1.573/1.756/1.883/0.104</t>
  </si>
  <si>
    <t>Min:1.546/1.837/2.075/0.205</t>
  </si>
  <si>
    <t>Min:1.591/1.815/2.088/0.187</t>
  </si>
  <si>
    <t>Min:1.643/1.941/2.179/0.182</t>
  </si>
  <si>
    <t>Min:1.536/1.806/1.954/0.169</t>
  </si>
  <si>
    <t>Min:1.702/1.818/1.986/0.133</t>
  </si>
  <si>
    <t>Min:1.771/1.922/2.326/0.204</t>
  </si>
  <si>
    <t>Min:1.804/2.018/2.332/0.199</t>
  </si>
  <si>
    <t>Min:1.886/2.046/2.223/0.131</t>
  </si>
  <si>
    <t>Min:1.720/1.879/2.041/0.103</t>
  </si>
  <si>
    <t>Min:1.572/1.754/1.926/0.119</t>
  </si>
  <si>
    <t>Min:1.565/1.785/1.966/0.155</t>
  </si>
  <si>
    <t>Min:1.683/1.816/1.898/0.071</t>
  </si>
  <si>
    <t>Min:1.680/1.981/2.212/0.174</t>
  </si>
  <si>
    <t>Min:1.474/1.814/2.175/0.232</t>
  </si>
  <si>
    <t>Min:1.688/1.945/2.110/0.171</t>
  </si>
  <si>
    <t>Min:1.729/1.922/2.216/0.190</t>
  </si>
  <si>
    <t>Min:1.736/1.842/1.933/0.068</t>
  </si>
  <si>
    <t>Min:1.552/1.764/1.996/0.151</t>
  </si>
  <si>
    <t>Min:1.671/1.947/2.230/0.205</t>
  </si>
  <si>
    <t>Min:1.775/1.995/2.122/0.125</t>
  </si>
  <si>
    <t>Min:1.779/1.987/2.178/0.153</t>
  </si>
  <si>
    <t>Min:1.654/1.804/2.000/0.118</t>
  </si>
  <si>
    <t>Min:1.689/1.890/2.055/0.122</t>
  </si>
  <si>
    <t>Min:1.515/1.839/2.226/0.257</t>
  </si>
  <si>
    <t>Min:1.447/1.642/1.803/0.129</t>
  </si>
  <si>
    <t>Min:1.692/1.856/2.050/0.117</t>
  </si>
  <si>
    <t>Min:1.646/1.853/2.083/0.172</t>
  </si>
  <si>
    <t>Min:1.636/1.867/2.009/0.150</t>
  </si>
  <si>
    <t>Min:1.558/1.853/2.191/0.217</t>
  </si>
  <si>
    <t>Min:1.337/1.800/2.200/0.276</t>
  </si>
  <si>
    <t>Min:1.580/1.815/2.163/0.194</t>
  </si>
  <si>
    <t>Min:1.539/1.879/2.157/0.241</t>
  </si>
  <si>
    <t>0.19,</t>
  </si>
  <si>
    <t>0.83,</t>
  </si>
  <si>
    <t>Min:1.543/1.685/1.980/0.173</t>
  </si>
  <si>
    <t>Min:1.392/1.695/2.006/0.234</t>
  </si>
  <si>
    <t>Min:1.312/1.538/1.852/0.224</t>
  </si>
  <si>
    <t>0.44,</t>
  </si>
  <si>
    <t>Min:1.503/1.678/1.875/0.139</t>
  </si>
  <si>
    <t>0.41,</t>
  </si>
  <si>
    <t>Min:1.521/1.635/1.857/0.123</t>
  </si>
  <si>
    <t>Min:1.394/1.545/1.706/0.130</t>
  </si>
  <si>
    <t>Min:1.440/1.610/1.756/0.112</t>
  </si>
  <si>
    <t>0.42,</t>
  </si>
  <si>
    <t>Min:1.587/1.813/2.041/0.161</t>
  </si>
  <si>
    <t>Min:1.442/1.679/1.835/0.137</t>
  </si>
  <si>
    <t>Min:1.593/1.744/1.957/0.153</t>
  </si>
  <si>
    <t>0.72,</t>
  </si>
  <si>
    <t>Min:1.484/1.658/1.834/0.146</t>
  </si>
  <si>
    <t>0.66,</t>
  </si>
  <si>
    <t>Min:1.431/1.672/1.864/0.140</t>
  </si>
  <si>
    <t>Min:1.294/1.640/1.840/0.202</t>
  </si>
  <si>
    <t>Min:1.579/1.682/1.882/0.119</t>
  </si>
  <si>
    <t>0.71,</t>
  </si>
  <si>
    <t>Min:1.247/1.595/2.023/0.262</t>
  </si>
  <si>
    <t>0.65,</t>
  </si>
  <si>
    <t>Min:1.407/1.493/1.667/0.093</t>
  </si>
  <si>
    <t>Min:1.455/1.742/2.182/0.249</t>
  </si>
  <si>
    <t>Min:1.452/1.642/1.873/0.152</t>
  </si>
  <si>
    <t>Min:1.463/1.632/1.904/0.167</t>
  </si>
  <si>
    <t>Min:1.470/1.682/1.861/0.149</t>
  </si>
  <si>
    <t>Min:1.644/1.769/1.875/0.092</t>
  </si>
  <si>
    <t>Min:1.404/1.575/1.935/0.188</t>
  </si>
  <si>
    <t>Min:1.366/1.770/2.038/0.256</t>
  </si>
  <si>
    <t>Min:1.403/1.508/1.815/0.155</t>
  </si>
  <si>
    <t>Min:1.637/1.774/1.911/0.094</t>
  </si>
  <si>
    <t>Min:1.455/1.653/1.787/0.128</t>
  </si>
  <si>
    <t>Min:1.489/1.666/1.756/0.096</t>
  </si>
  <si>
    <t>Min:1.453/1.638/1.803/0.132</t>
  </si>
  <si>
    <t>Min:1.539/1.690/2.013/0.167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</si>
</sst>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B8C034-1DBD-4D09-B163-396CF24BFE32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5B4960B-DE3B-4701-97F0-26C31D371312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36D3DC0-E0FE-4AAB-8D84-685D936A2E71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2FF925D-6D8E-4FDD-B7F0-8F7A74337A14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B1B0005-B802-4E80-994C-3E54DCF96973}" autoFormatId="16" applyNumberFormats="0" applyBorderFormats="0" applyFontFormats="0" applyPatternFormats="0" applyAlignmentFormats="0" applyWidthHeightFormats="0">
  <queryTableRefresh nextId="45">
    <queryTableFields count="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FE9613-4DEC-430E-81FD-2A6D08A438EE}" name="log_v1_051524_tc_1" displayName="log_v1_051524_tc_1" ref="A1:AR43" tableType="queryTable" totalsRowCount="1">
  <autoFilter ref="A1:AR42" xr:uid="{15FE9613-4DEC-430E-81FD-2A6D08A438EE}"/>
  <tableColumns count="44">
    <tableColumn id="1" xr3:uid="{25D6A911-9DB4-45F5-A55D-84E9FF16CFF5}" uniqueName="1" name="Column1" queryTableFieldId="1" dataDxfId="352" totalsRowDxfId="353"/>
    <tableColumn id="2" xr3:uid="{32E0AC23-3393-481A-85FB-767B6AA85C56}" uniqueName="2" name="Column2" queryTableFieldId="2" dataDxfId="350" totalsRowDxfId="351"/>
    <tableColumn id="3" xr3:uid="{3FC285B3-AA7B-4268-9011-BF10603CCB04}" uniqueName="3" name="Column3" queryTableFieldId="3" dataDxfId="348" totalsRowDxfId="349"/>
    <tableColumn id="4" xr3:uid="{8352B889-1348-4462-AE17-2CD5FA1D33D3}" uniqueName="4" name="Column4" queryTableFieldId="4" dataDxfId="346" totalsRowDxfId="347"/>
    <tableColumn id="5" xr3:uid="{A29A209F-A78A-4C76-BB26-BDFC907D4E97}" uniqueName="5" name="Column5" totalsRowFunction="custom" queryTableFieldId="5" totalsRowDxfId="345">
      <totalsRowFormula>AVERAGE(log_v1_051524_tc_1[Column5])</totalsRowFormula>
    </tableColumn>
    <tableColumn id="6" xr3:uid="{63A6D690-E860-4991-8255-26587D9C28DB}" uniqueName="6" name="Column6" queryTableFieldId="6" dataDxfId="343" totalsRowDxfId="344"/>
    <tableColumn id="7" xr3:uid="{7A01A14D-583F-4B41-8166-7252621DA8F3}" uniqueName="7" name="Column7" queryTableFieldId="7" dataDxfId="341" totalsRowDxfId="342"/>
    <tableColumn id="8" xr3:uid="{5D3BC66A-0502-4926-882D-0B6AE32B083E}" uniqueName="8" name="Column8" queryTableFieldId="8" dataDxfId="339" totalsRowDxfId="340"/>
    <tableColumn id="9" xr3:uid="{7BA79249-161D-4667-95F1-9100E36BE326}" uniqueName="9" name="Column9" totalsRowFunction="custom" queryTableFieldId="9" totalsRowDxfId="338">
      <totalsRowFormula>AVERAGE(log_v1_051524_tc_1[Column9])</totalsRowFormula>
    </tableColumn>
    <tableColumn id="10" xr3:uid="{60C7A304-4977-4315-ADA8-8F7B10221491}" uniqueName="10" name="Column10" queryTableFieldId="10" dataDxfId="336" totalsRowDxfId="337"/>
    <tableColumn id="11" xr3:uid="{3580BBBC-5DD5-4A31-9394-627A73987C6A}" uniqueName="11" name="Column11" queryTableFieldId="11" dataDxfId="334" totalsRowDxfId="335"/>
    <tableColumn id="12" xr3:uid="{1504A17A-E2E1-4DDB-A3F6-F13071498F95}" uniqueName="12" name="Column12" queryTableFieldId="12" dataDxfId="332" totalsRowDxfId="333"/>
    <tableColumn id="13" xr3:uid="{1065E3D3-BC43-4231-B139-0A2D164D396D}" uniqueName="13" name="Column13" queryTableFieldId="13" dataDxfId="330" totalsRowDxfId="331"/>
    <tableColumn id="14" xr3:uid="{472CFA62-F6F5-4EA6-BD4B-1CA6D870D28E}" uniqueName="14" name="Column14" queryTableFieldId="14" dataDxfId="328" totalsRowDxfId="329"/>
    <tableColumn id="15" xr3:uid="{97FC7277-29E7-4FDC-8B00-82CBC39ADC9A}" uniqueName="15" name="Column15" totalsRowFunction="custom" queryTableFieldId="15">
      <totalsRowFormula>AVERAGE(log_v1_051524_tc_1[Column15])</totalsRowFormula>
    </tableColumn>
    <tableColumn id="16" xr3:uid="{9C86A22E-A23F-4810-A1B6-8D8EEE31D0E6}" uniqueName="16" name="Column16" totalsRowFunction="custom" queryTableFieldId="16">
      <totalsRowFormula>AVERAGE(log_v1_051524_tc_1[Column16])</totalsRowFormula>
    </tableColumn>
    <tableColumn id="17" xr3:uid="{44BCC4D6-F446-4DC6-A1BA-8899F8364CD5}" uniqueName="17" name="Column17" queryTableFieldId="17" dataDxfId="326" totalsRowDxfId="327"/>
    <tableColumn id="18" xr3:uid="{81511B03-6A76-44EA-8A55-2C989E8A2078}" uniqueName="18" name="Column18" queryTableFieldId="18" dataDxfId="324" totalsRowDxfId="325"/>
    <tableColumn id="19" xr3:uid="{7E476EDE-AF07-4C96-A2AA-CF7D7B4CCAC3}" uniqueName="19" name="Column19" queryTableFieldId="19" dataDxfId="322" totalsRowDxfId="323"/>
    <tableColumn id="20" xr3:uid="{C7E27ED1-AADC-4513-8201-D42F44260608}" uniqueName="20" name="Column20" queryTableFieldId="20" dataDxfId="320" totalsRowDxfId="321"/>
    <tableColumn id="21" xr3:uid="{06FA043E-78CF-41FF-B5D0-2029BE3BEF28}" uniqueName="21" name="Column21" queryTableFieldId="21" dataDxfId="318" totalsRowDxfId="319"/>
    <tableColumn id="22" xr3:uid="{A4126880-49BD-4C2E-8C6C-41AF6C56D2BC}" uniqueName="22" name="Column22" queryTableFieldId="22" dataDxfId="316" totalsRowDxfId="317"/>
    <tableColumn id="23" xr3:uid="{D0554DC8-C1B0-4AEC-8AB8-BC6B8A95E2F6}" uniqueName="23" name="Column23" queryTableFieldId="23" dataDxfId="314" totalsRowDxfId="315"/>
    <tableColumn id="24" xr3:uid="{409D3C29-8D41-44A9-BD24-9D815E04D274}" uniqueName="24" name="Column24" queryTableFieldId="24" dataDxfId="312" totalsRowDxfId="313"/>
    <tableColumn id="25" xr3:uid="{592A1C15-B302-4E90-ACED-3107926D7FE0}" uniqueName="25" name="Column25" queryTableFieldId="25"/>
    <tableColumn id="26" xr3:uid="{9C92CEF7-A7D0-4DB5-994A-04A9E3F98C3D}" uniqueName="26" name="Column26" queryTableFieldId="26" dataDxfId="310" totalsRowDxfId="311"/>
    <tableColumn id="27" xr3:uid="{D5B3363F-C632-4414-A06E-C3494176C493}" uniqueName="27" name="Column27" queryTableFieldId="27" dataDxfId="308" totalsRowDxfId="309"/>
    <tableColumn id="28" xr3:uid="{9A4DA65D-5BED-46BC-896F-00320EABB5AD}" uniqueName="28" name="Column28" queryTableFieldId="28" dataDxfId="306" totalsRowDxfId="307"/>
    <tableColumn id="29" xr3:uid="{DE1FA7AC-5857-4E55-876A-402C8AD46684}" uniqueName="29" name="Column29" queryTableFieldId="29"/>
    <tableColumn id="30" xr3:uid="{1049DA42-C65B-4899-B06B-192F69BC3167}" uniqueName="30" name="Column30" queryTableFieldId="30" dataDxfId="304" totalsRowDxfId="305"/>
    <tableColumn id="31" xr3:uid="{288F6802-AD46-46A7-A7DC-C102BB103DDC}" uniqueName="31" name="Column31" queryTableFieldId="31" dataDxfId="302" totalsRowDxfId="303"/>
    <tableColumn id="32" xr3:uid="{9367845F-821F-425E-B595-F1EB927BCE3D}" uniqueName="32" name="Column32" queryTableFieldId="32" dataDxfId="300" totalsRowDxfId="301"/>
    <tableColumn id="33" xr3:uid="{93607DA6-71B8-4787-A17C-661837ECAE3B}" uniqueName="33" name="Column33" queryTableFieldId="33" dataDxfId="298" totalsRowDxfId="299"/>
    <tableColumn id="34" xr3:uid="{C30C652D-5742-45D4-8EB7-D3351F5CE2BA}" uniqueName="34" name="Column34" queryTableFieldId="34" dataDxfId="296" totalsRowDxfId="297"/>
    <tableColumn id="35" xr3:uid="{B6B9B64B-83C4-4ADE-805E-BF533D3A37B2}" uniqueName="35" name="Column35" queryTableFieldId="35" dataDxfId="294" totalsRowDxfId="295"/>
    <tableColumn id="36" xr3:uid="{4E043C2B-2EA1-46B8-A4E8-396F5489FA6E}" uniqueName="36" name="Column36" queryTableFieldId="36" dataDxfId="292" totalsRowDxfId="293"/>
    <tableColumn id="37" xr3:uid="{22E2E209-F707-4CE3-A022-078E934B22D8}" uniqueName="37" name="Column37" queryTableFieldId="37" dataDxfId="290" totalsRowDxfId="291"/>
    <tableColumn id="38" xr3:uid="{35FD78FF-A1C9-49E1-9401-472A2C6BFD1B}" uniqueName="38" name="Column38" queryTableFieldId="38" dataDxfId="288" totalsRowDxfId="289"/>
    <tableColumn id="39" xr3:uid="{01EB88DF-858B-43C5-8C9B-0FCD1E327A22}" uniqueName="39" name="Column39" queryTableFieldId="39" dataDxfId="286" totalsRowDxfId="287"/>
    <tableColumn id="40" xr3:uid="{7BD87CD2-3123-4746-BFC7-31426BBE4026}" uniqueName="40" name="Column40" queryTableFieldId="40" dataDxfId="284" totalsRowDxfId="285"/>
    <tableColumn id="41" xr3:uid="{EF90CD48-6828-410A-9C35-E8B1D3037E6C}" uniqueName="41" name="Column41" queryTableFieldId="41" dataDxfId="282" totalsRowDxfId="283"/>
    <tableColumn id="42" xr3:uid="{05268C8A-AEC3-46DF-AF1D-4202D2A91D02}" uniqueName="42" name="Column42" queryTableFieldId="42" dataDxfId="280" totalsRowDxfId="281"/>
    <tableColumn id="43" xr3:uid="{A7FA950D-7E2B-4FAC-B762-50C957AEB1FA}" uniqueName="43" name="Column43" queryTableFieldId="43" dataDxfId="278" totalsRowDxfId="279"/>
    <tableColumn id="44" xr3:uid="{5A12CD6B-99ED-4AD3-A79D-8DF1B6473F41}" uniqueName="44" name="Column44" queryTableFieldId="44" dataDxfId="276" totalsRowDxfId="27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1BA862-C9DC-40BC-8A74-6C127A5BBCD0}" name="log_v1_051524_tc_2" displayName="log_v1_051524_tc_2" ref="A1:AR29" tableType="queryTable" totalsRowCount="1">
  <autoFilter ref="A1:AR28" xr:uid="{5A1BA862-C9DC-40BC-8A74-6C127A5BBCD0}"/>
  <tableColumns count="44">
    <tableColumn id="1" xr3:uid="{6258DD54-8BEF-45FA-9DE3-96F05D20A518}" uniqueName="1" name="Column1" queryTableFieldId="1" dataDxfId="274" totalsRowDxfId="275"/>
    <tableColumn id="2" xr3:uid="{83FAA8ED-37E0-4910-BA78-F07264967DC5}" uniqueName="2" name="Column2" queryTableFieldId="2" dataDxfId="272" totalsRowDxfId="273"/>
    <tableColumn id="3" xr3:uid="{64F65B4A-548E-4975-98D6-1794ECB7CE87}" uniqueName="3" name="Column3" queryTableFieldId="3" dataDxfId="270" totalsRowDxfId="271"/>
    <tableColumn id="4" xr3:uid="{8D75BB4B-5123-464D-9E63-4AE6B2D7C6CD}" uniqueName="4" name="Column4" queryTableFieldId="4" dataDxfId="268" totalsRowDxfId="269"/>
    <tableColumn id="5" xr3:uid="{18C83049-320B-4821-B826-0209F9090ADA}" uniqueName="5" name="Column5" totalsRowFunction="custom" queryTableFieldId="5" totalsRowDxfId="267">
      <totalsRowFormula>AVERAGE(log_v1_051524_tc_2[Column5])</totalsRowFormula>
    </tableColumn>
    <tableColumn id="6" xr3:uid="{D9F4C6F1-263A-41F1-9523-233A8B543F6F}" uniqueName="6" name="Column6" queryTableFieldId="6" dataDxfId="265" totalsRowDxfId="266"/>
    <tableColumn id="7" xr3:uid="{B455F8DB-4130-4A87-AA34-AAAA27284FA8}" uniqueName="7" name="Column7" queryTableFieldId="7" dataDxfId="263" totalsRowDxfId="264"/>
    <tableColumn id="8" xr3:uid="{387655FC-2EA9-4EAD-A764-25E6F9ACC84B}" uniqueName="8" name="Column8" queryTableFieldId="8" dataDxfId="261" totalsRowDxfId="262"/>
    <tableColumn id="9" xr3:uid="{39061C57-B3F5-4517-A28E-ABBCA33A1ABB}" uniqueName="9" name="Column9" totalsRowFunction="custom" queryTableFieldId="9" totalsRowDxfId="260">
      <totalsRowFormula>AVERAGE(log_v1_051524_tc_2[Column9])</totalsRowFormula>
    </tableColumn>
    <tableColumn id="10" xr3:uid="{9F775C81-D03F-46B0-A8E5-3A9CFB761CD1}" uniqueName="10" name="Column10" queryTableFieldId="10" dataDxfId="258" totalsRowDxfId="259"/>
    <tableColumn id="11" xr3:uid="{C8634D3F-BC3C-4EBC-9117-EA41C1573F10}" uniqueName="11" name="Column11" queryTableFieldId="11" dataDxfId="256" totalsRowDxfId="257"/>
    <tableColumn id="12" xr3:uid="{356E8F82-B2CC-4B17-80D7-73D1A32E7B16}" uniqueName="12" name="Column12" queryTableFieldId="12" dataDxfId="254" totalsRowDxfId="255"/>
    <tableColumn id="13" xr3:uid="{3160EC02-DAE4-43BD-8C54-95E31816E779}" uniqueName="13" name="Column13" queryTableFieldId="13" dataDxfId="252" totalsRowDxfId="253"/>
    <tableColumn id="14" xr3:uid="{0BC6F0D6-1F65-42F5-82A4-5999EDB99C0A}" uniqueName="14" name="Column14" queryTableFieldId="14" dataDxfId="250" totalsRowDxfId="251"/>
    <tableColumn id="15" xr3:uid="{865866FC-E72E-4064-B077-006D1E120D83}" uniqueName="15" name="Column15" totalsRowFunction="custom" queryTableFieldId="15">
      <totalsRowFormula>AVERAGE(log_v1_051524_tc_2[Column15])</totalsRowFormula>
    </tableColumn>
    <tableColumn id="16" xr3:uid="{393BB9A8-AACE-48F6-8949-1EF9CDD313DF}" uniqueName="16" name="Column16" totalsRowFunction="custom" queryTableFieldId="16">
      <totalsRowFormula>AVERAGE(log_v1_051524_tc_2[Column16])</totalsRowFormula>
    </tableColumn>
    <tableColumn id="17" xr3:uid="{C446387C-FFB8-4817-BDC6-AAA7E939B010}" uniqueName="17" name="Column17" queryTableFieldId="17" dataDxfId="248" totalsRowDxfId="249"/>
    <tableColumn id="18" xr3:uid="{DF804408-5E32-4ABD-935D-E2FB0BAA7F23}" uniqueName="18" name="Column18" queryTableFieldId="18" dataDxfId="246" totalsRowDxfId="247"/>
    <tableColumn id="19" xr3:uid="{88035E4D-235F-490D-9225-CA8EA45D0025}" uniqueName="19" name="Column19" queryTableFieldId="19" dataDxfId="244" totalsRowDxfId="245"/>
    <tableColumn id="20" xr3:uid="{779E747D-F4F5-421C-AD46-308FDE0E59EA}" uniqueName="20" name="Column20" queryTableFieldId="20" dataDxfId="242" totalsRowDxfId="243"/>
    <tableColumn id="21" xr3:uid="{45BF109F-8A73-49F5-98A7-E96DF7CB87A4}" uniqueName="21" name="Column21" queryTableFieldId="21" dataDxfId="240" totalsRowDxfId="241"/>
    <tableColumn id="22" xr3:uid="{A2ACEFAB-AB1D-460A-A5DA-982D8A2360AD}" uniqueName="22" name="Column22" queryTableFieldId="22" dataDxfId="238" totalsRowDxfId="239"/>
    <tableColumn id="23" xr3:uid="{46E0C408-747F-4436-B461-9F3426C1C9DC}" uniqueName="23" name="Column23" queryTableFieldId="23" dataDxfId="236" totalsRowDxfId="237"/>
    <tableColumn id="24" xr3:uid="{26E43DE5-DFBF-4B88-B927-BBB99FACD408}" uniqueName="24" name="Column24" queryTableFieldId="24" dataDxfId="234" totalsRowDxfId="235"/>
    <tableColumn id="25" xr3:uid="{477DFA5B-7F13-4722-BA84-D71F5E16289F}" uniqueName="25" name="Column25" queryTableFieldId="25"/>
    <tableColumn id="26" xr3:uid="{C0D42813-D1AE-4ED3-AF90-224D95EB21AC}" uniqueName="26" name="Column26" queryTableFieldId="26" dataDxfId="232" totalsRowDxfId="233"/>
    <tableColumn id="27" xr3:uid="{B6C6BDC6-2A08-4CD3-BE84-322B71EC3218}" uniqueName="27" name="Column27" queryTableFieldId="27" dataDxfId="230" totalsRowDxfId="231"/>
    <tableColumn id="28" xr3:uid="{3C6C5524-F2BD-4AEF-9C25-D1F4BD24D3FD}" uniqueName="28" name="Column28" queryTableFieldId="28" dataDxfId="228" totalsRowDxfId="229"/>
    <tableColumn id="29" xr3:uid="{9F8FA5EF-83BE-4C82-8157-019AF8A8BCBE}" uniqueName="29" name="Column29" queryTableFieldId="29"/>
    <tableColumn id="30" xr3:uid="{EE99508D-ADE2-44EB-8243-68C13512BEBB}" uniqueName="30" name="Column30" queryTableFieldId="30" dataDxfId="226" totalsRowDxfId="227"/>
    <tableColumn id="31" xr3:uid="{33299DB3-E7C7-4CB4-9B1E-DCE181D4F022}" uniqueName="31" name="Column31" queryTableFieldId="31" dataDxfId="224" totalsRowDxfId="225"/>
    <tableColumn id="32" xr3:uid="{756DFF04-8D3A-4761-94A7-E35E81B91A53}" uniqueName="32" name="Column32" queryTableFieldId="32" dataDxfId="222" totalsRowDxfId="223"/>
    <tableColumn id="33" xr3:uid="{83E0BC05-F91E-4F66-ACA9-A0C5D4530259}" uniqueName="33" name="Column33" queryTableFieldId="33" dataDxfId="220" totalsRowDxfId="221"/>
    <tableColumn id="34" xr3:uid="{37F81C93-ED8C-463A-B2FA-D84BA256EB4B}" uniqueName="34" name="Column34" queryTableFieldId="34" dataDxfId="218" totalsRowDxfId="219"/>
    <tableColumn id="35" xr3:uid="{FF3DFCB9-F9FA-4B46-B1F1-13FB0C13A850}" uniqueName="35" name="Column35" queryTableFieldId="35" dataDxfId="216" totalsRowDxfId="217"/>
    <tableColumn id="36" xr3:uid="{9B533B6D-C7A0-4AB1-AAC9-49B8289DA395}" uniqueName="36" name="Column36" queryTableFieldId="36" dataDxfId="214" totalsRowDxfId="215"/>
    <tableColumn id="37" xr3:uid="{8562389B-109C-4447-8931-F1F0EDDC5582}" uniqueName="37" name="Column37" queryTableFieldId="37" dataDxfId="212" totalsRowDxfId="213"/>
    <tableColumn id="38" xr3:uid="{7D9AF8FC-355D-4B1A-8D01-F988F7C4D085}" uniqueName="38" name="Column38" queryTableFieldId="38" dataDxfId="210" totalsRowDxfId="211"/>
    <tableColumn id="39" xr3:uid="{60C2F586-0423-4F45-90B2-0F9BEC964C2A}" uniqueName="39" name="Column39" queryTableFieldId="39" dataDxfId="208" totalsRowDxfId="209"/>
    <tableColumn id="40" xr3:uid="{63DE36AE-3EC2-4A58-A08E-53A6BF0C346C}" uniqueName="40" name="Column40" queryTableFieldId="40" dataDxfId="206" totalsRowDxfId="207"/>
    <tableColumn id="41" xr3:uid="{1093A35A-54A1-429F-A893-9D6E305562A3}" uniqueName="41" name="Column41" queryTableFieldId="41" dataDxfId="204" totalsRowDxfId="205"/>
    <tableColumn id="42" xr3:uid="{5826548D-E5DC-47AA-BF54-BD24F98F0671}" uniqueName="42" name="Column42" queryTableFieldId="42" dataDxfId="202" totalsRowDxfId="203"/>
    <tableColumn id="43" xr3:uid="{A4C869C5-5420-4455-892A-B7DB3DDB590C}" uniqueName="43" name="Column43" queryTableFieldId="43" dataDxfId="200" totalsRowDxfId="201"/>
    <tableColumn id="44" xr3:uid="{938021D3-3CBA-4AFE-A75F-5984934B441E}" uniqueName="44" name="Column44" queryTableFieldId="44" dataDxfId="198" totalsRowDxfId="19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015EEE-4B5C-4141-807B-DCD2B0236F93}" name="log_v1_051524_tc_3" displayName="log_v1_051524_tc_3" ref="A1:AR28" tableType="queryTable" totalsRowCount="1">
  <autoFilter ref="A1:AR27" xr:uid="{52015EEE-4B5C-4141-807B-DCD2B0236F93}"/>
  <tableColumns count="44">
    <tableColumn id="1" xr3:uid="{6398DDE2-F2A1-4F75-96C5-91CEB6BB9D3F}" uniqueName="1" name="Column1" queryTableFieldId="1" dataDxfId="196" totalsRowDxfId="197"/>
    <tableColumn id="2" xr3:uid="{9D00C852-F8BB-4DEC-9A62-EE9E2C2B8F8A}" uniqueName="2" name="Column2" queryTableFieldId="2" dataDxfId="194" totalsRowDxfId="195"/>
    <tableColumn id="3" xr3:uid="{2E18D3B6-5ACF-4CA5-9953-B0144415AF0E}" uniqueName="3" name="Column3" queryTableFieldId="3" dataDxfId="192" totalsRowDxfId="193"/>
    <tableColumn id="4" xr3:uid="{3BB1344D-9078-4923-8DB7-BD08D42578C6}" uniqueName="4" name="Column4" queryTableFieldId="4" dataDxfId="190" totalsRowDxfId="191"/>
    <tableColumn id="5" xr3:uid="{549CE67D-BE79-470F-8D8F-3984F5E88FF5}" uniqueName="5" name="Column5" totalsRowFunction="custom" queryTableFieldId="5" totalsRowDxfId="189">
      <totalsRowFormula>AVERAGE(log_v1_051524_tc_3[Column5])</totalsRowFormula>
    </tableColumn>
    <tableColumn id="6" xr3:uid="{EE057241-C872-4651-A767-F6D54B476FC9}" uniqueName="6" name="Column6" queryTableFieldId="6" dataDxfId="187" totalsRowDxfId="188"/>
    <tableColumn id="7" xr3:uid="{31C74991-7AE8-415A-AFBD-D450826E076E}" uniqueName="7" name="Column7" queryTableFieldId="7" dataDxfId="185" totalsRowDxfId="186"/>
    <tableColumn id="8" xr3:uid="{DAA644A4-7052-4139-AF86-BF59E9C91E6C}" uniqueName="8" name="Column8" queryTableFieldId="8" dataDxfId="183" totalsRowDxfId="184"/>
    <tableColumn id="9" xr3:uid="{D3337335-366E-4A9D-A7BE-0C4834868D6A}" uniqueName="9" name="Column9" totalsRowFunction="custom" queryTableFieldId="9" totalsRowDxfId="182">
      <totalsRowFormula>AVERAGE(log_v1_051524_tc_3[Column9])</totalsRowFormula>
    </tableColumn>
    <tableColumn id="10" xr3:uid="{DA914634-B265-46D2-99AA-1480893554F4}" uniqueName="10" name="Column10" queryTableFieldId="10" dataDxfId="180" totalsRowDxfId="181"/>
    <tableColumn id="11" xr3:uid="{727A6390-5015-4493-A0FB-ECF19F2B77C1}" uniqueName="11" name="Column11" queryTableFieldId="11" dataDxfId="178" totalsRowDxfId="179"/>
    <tableColumn id="12" xr3:uid="{844710CB-F1F8-4D03-8E27-24B047604BCB}" uniqueName="12" name="Column12" queryTableFieldId="12" dataDxfId="176" totalsRowDxfId="177"/>
    <tableColumn id="13" xr3:uid="{7F1BC482-A814-4312-A2DB-6CBB407A7EB2}" uniqueName="13" name="Column13" queryTableFieldId="13" dataDxfId="174" totalsRowDxfId="175"/>
    <tableColumn id="14" xr3:uid="{29BD85AA-BBB0-4010-9BF7-E54DF5ACC591}" uniqueName="14" name="Column14" queryTableFieldId="14" dataDxfId="172" totalsRowDxfId="173"/>
    <tableColumn id="15" xr3:uid="{134604A2-37E3-49D4-9248-1514F53AB160}" uniqueName="15" name="Column15" totalsRowFunction="custom" queryTableFieldId="15">
      <totalsRowFormula>AVERAGE(log_v1_051524_tc_3[Column15])</totalsRowFormula>
    </tableColumn>
    <tableColumn id="16" xr3:uid="{20ED1041-EEA8-43FD-8377-6CC0FE538B8F}" uniqueName="16" name="Column16" totalsRowFunction="custom" queryTableFieldId="16">
      <totalsRowFormula>AVERAGE(log_v1_051524_tc_3[Column16])</totalsRowFormula>
    </tableColumn>
    <tableColumn id="17" xr3:uid="{8472B344-6ADE-4C45-AF13-57266BA3327C}" uniqueName="17" name="Column17" queryTableFieldId="17" dataDxfId="170" totalsRowDxfId="171"/>
    <tableColumn id="18" xr3:uid="{C45EF92C-FD58-46BE-9261-C5C7B94BA7D5}" uniqueName="18" name="Column18" queryTableFieldId="18" dataDxfId="168" totalsRowDxfId="169"/>
    <tableColumn id="19" xr3:uid="{EDF0F358-8C3C-4617-9A38-7C622FE02F46}" uniqueName="19" name="Column19" queryTableFieldId="19" dataDxfId="166" totalsRowDxfId="167"/>
    <tableColumn id="20" xr3:uid="{0A72F7F4-4B8C-4C12-9EFD-D62E20A80199}" uniqueName="20" name="Column20" queryTableFieldId="20" dataDxfId="164" totalsRowDxfId="165"/>
    <tableColumn id="21" xr3:uid="{0769F446-76E5-4472-9A71-9E3C3F699644}" uniqueName="21" name="Column21" queryTableFieldId="21" dataDxfId="162" totalsRowDxfId="163"/>
    <tableColumn id="22" xr3:uid="{0AEDCF06-FB1C-4537-B9E1-01FAD095FC91}" uniqueName="22" name="Column22" queryTableFieldId="22" dataDxfId="160" totalsRowDxfId="161"/>
    <tableColumn id="23" xr3:uid="{B44E6B3A-04E2-409E-B822-C6772FAAF207}" uniqueName="23" name="Column23" queryTableFieldId="23" dataDxfId="158" totalsRowDxfId="159"/>
    <tableColumn id="24" xr3:uid="{34F67ADB-35A1-43A0-B7AC-2BED42FA2F8C}" uniqueName="24" name="Column24" queryTableFieldId="24" dataDxfId="156" totalsRowDxfId="157"/>
    <tableColumn id="25" xr3:uid="{7B07D28F-3260-4ED9-9C25-5C7955B96EFC}" uniqueName="25" name="Column25" queryTableFieldId="25"/>
    <tableColumn id="26" xr3:uid="{2B121189-F0C5-49DA-923D-EA140AD3FE19}" uniqueName="26" name="Column26" queryTableFieldId="26" dataDxfId="154" totalsRowDxfId="155"/>
    <tableColumn id="27" xr3:uid="{348B4B6C-552D-47FC-A078-1FB7812859D5}" uniqueName="27" name="Column27" queryTableFieldId="27" dataDxfId="152" totalsRowDxfId="153"/>
    <tableColumn id="28" xr3:uid="{A9CF693E-FF8B-4ED7-A09D-E20F9086022B}" uniqueName="28" name="Column28" queryTableFieldId="28" dataDxfId="150" totalsRowDxfId="151"/>
    <tableColumn id="29" xr3:uid="{88BABACD-7D2B-4E09-9B20-BD630ABD2C0D}" uniqueName="29" name="Column29" queryTableFieldId="29"/>
    <tableColumn id="30" xr3:uid="{8BD7BA91-298F-4CB4-872E-583A51E6CC7B}" uniqueName="30" name="Column30" queryTableFieldId="30" dataDxfId="148" totalsRowDxfId="149"/>
    <tableColumn id="31" xr3:uid="{E3C604AA-E7F7-42DC-8021-32EC227E6720}" uniqueName="31" name="Column31" queryTableFieldId="31" dataDxfId="146" totalsRowDxfId="147"/>
    <tableColumn id="32" xr3:uid="{23C3F402-8151-42BE-809B-25DAA7E44287}" uniqueName="32" name="Column32" queryTableFieldId="32" dataDxfId="144" totalsRowDxfId="145"/>
    <tableColumn id="33" xr3:uid="{162156C3-6506-43A9-BD0E-8788FE2A2D6C}" uniqueName="33" name="Column33" queryTableFieldId="33" dataDxfId="142" totalsRowDxfId="143"/>
    <tableColumn id="34" xr3:uid="{CEB39877-BFCB-47D4-85EE-9C9CF9AC898F}" uniqueName="34" name="Column34" queryTableFieldId="34" dataDxfId="140" totalsRowDxfId="141"/>
    <tableColumn id="35" xr3:uid="{3C7C5EDE-8887-4EA7-B80C-7EACBC6C6E03}" uniqueName="35" name="Column35" queryTableFieldId="35" dataDxfId="138" totalsRowDxfId="139"/>
    <tableColumn id="36" xr3:uid="{D7A20331-16D4-42AC-97C6-EEE7AFEB3BFA}" uniqueName="36" name="Column36" queryTableFieldId="36" dataDxfId="136" totalsRowDxfId="137"/>
    <tableColumn id="37" xr3:uid="{11AD9871-D281-48BB-B8D2-225D7CC8E5CC}" uniqueName="37" name="Column37" queryTableFieldId="37" dataDxfId="134" totalsRowDxfId="135"/>
    <tableColumn id="38" xr3:uid="{4F97EF25-A44A-4BC9-94B3-84D9FD497B62}" uniqueName="38" name="Column38" queryTableFieldId="38" dataDxfId="132" totalsRowDxfId="133"/>
    <tableColumn id="39" xr3:uid="{018AFD10-9599-424E-9BB7-C184982557B2}" uniqueName="39" name="Column39" queryTableFieldId="39" dataDxfId="130" totalsRowDxfId="131"/>
    <tableColumn id="40" xr3:uid="{771FD09A-D519-491B-85DA-DB3024F7E073}" uniqueName="40" name="Column40" queryTableFieldId="40" dataDxfId="128" totalsRowDxfId="129"/>
    <tableColumn id="41" xr3:uid="{4A849A90-6256-4B84-90BB-2BCB6AE99599}" uniqueName="41" name="Column41" queryTableFieldId="41" dataDxfId="126" totalsRowDxfId="127"/>
    <tableColumn id="42" xr3:uid="{903F867D-D165-450D-82BD-C46A7A1B07FC}" uniqueName="42" name="Column42" queryTableFieldId="42" dataDxfId="124" totalsRowDxfId="125"/>
    <tableColumn id="43" xr3:uid="{084607F4-09B7-4CE8-A045-8D5498F3C258}" uniqueName="43" name="Column43" queryTableFieldId="43" dataDxfId="122" totalsRowDxfId="123"/>
    <tableColumn id="44" xr3:uid="{1B5E97B7-B62B-4EFC-8CC3-B85943493A41}" uniqueName="44" name="Column44" queryTableFieldId="44" dataDxfId="120" totalsRowDxfId="1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F481E8-18CE-4484-8D1A-E0BB8DB2CEC8}" name="log_v1_051524_tc_4" displayName="log_v1_051524_tc_4" ref="A1:AR412" tableType="queryTable" totalsRowCount="1">
  <autoFilter ref="A1:AR411" xr:uid="{5BF481E8-18CE-4484-8D1A-E0BB8DB2CEC8}"/>
  <tableColumns count="44">
    <tableColumn id="1" xr3:uid="{036576B9-CFF6-4C09-9C38-46D7B0EF932A}" uniqueName="1" name="Column1" queryTableFieldId="1" dataDxfId="118" totalsRowDxfId="119"/>
    <tableColumn id="2" xr3:uid="{79438829-FC6C-4BE6-97FB-284C7675B1AA}" uniqueName="2" name="Column2" queryTableFieldId="2" dataDxfId="116" totalsRowDxfId="117"/>
    <tableColumn id="3" xr3:uid="{FD68941C-6C64-4C30-AAE5-CDF71E2A65E6}" uniqueName="3" name="Column3" queryTableFieldId="3" dataDxfId="114" totalsRowDxfId="115"/>
    <tableColumn id="4" xr3:uid="{8CD4176C-00D4-4919-8FCD-0228E827594B}" uniqueName="4" name="Column4" queryTableFieldId="4" dataDxfId="112" totalsRowDxfId="113"/>
    <tableColumn id="5" xr3:uid="{F0F275F4-ABCD-4937-B925-F94715AB0CC5}" uniqueName="5" name="Column5" totalsRowFunction="custom" queryTableFieldId="5" totalsRowDxfId="111">
      <totalsRowFormula>AVERAGE(log_v1_051524_tc_4[Column5])</totalsRowFormula>
    </tableColumn>
    <tableColumn id="6" xr3:uid="{AA755F4D-9BE0-4C9D-A5A7-694A8E7795F3}" uniqueName="6" name="Column6" queryTableFieldId="6" dataDxfId="109" totalsRowDxfId="110"/>
    <tableColumn id="7" xr3:uid="{AD43EB04-AB89-48B5-ADEF-3C8247DAC226}" uniqueName="7" name="Column7" queryTableFieldId="7" dataDxfId="107" totalsRowDxfId="108"/>
    <tableColumn id="8" xr3:uid="{18708E63-3441-40BB-A162-FC0EE5624DE3}" uniqueName="8" name="Column8" queryTableFieldId="8" dataDxfId="105" totalsRowDxfId="106"/>
    <tableColumn id="9" xr3:uid="{1D9907ED-A574-4398-ACF6-0314C2C3716E}" uniqueName="9" name="Column9" totalsRowFunction="custom" queryTableFieldId="9" totalsRowDxfId="104">
      <totalsRowFormula>AVERAGE(log_v1_051524_tc_4[Column9])</totalsRowFormula>
    </tableColumn>
    <tableColumn id="10" xr3:uid="{9F1A7B5E-1DC7-4ED1-A17D-07D256B86BD8}" uniqueName="10" name="Column10" queryTableFieldId="10" dataDxfId="102" totalsRowDxfId="103"/>
    <tableColumn id="11" xr3:uid="{A846CC60-2D69-452D-A953-C31AF679A01F}" uniqueName="11" name="Column11" queryTableFieldId="11" dataDxfId="100" totalsRowDxfId="101"/>
    <tableColumn id="12" xr3:uid="{D9A0C69D-30DF-42F3-8ACA-6A54CBC7E3D0}" uniqueName="12" name="Column12" queryTableFieldId="12" dataDxfId="98" totalsRowDxfId="99"/>
    <tableColumn id="13" xr3:uid="{07D33070-BC82-4973-B54C-AAEC9F66C39B}" uniqueName="13" name="Column13" queryTableFieldId="13" dataDxfId="96" totalsRowDxfId="97"/>
    <tableColumn id="14" xr3:uid="{006FB5D9-76AB-4E89-B022-4124F8FB240B}" uniqueName="14" name="Column14" queryTableFieldId="14" dataDxfId="94" totalsRowDxfId="95"/>
    <tableColumn id="15" xr3:uid="{D677D316-D313-47F5-B6D8-33F890CAA583}" uniqueName="15" name="Column15" totalsRowFunction="custom" queryTableFieldId="15">
      <totalsRowFormula>AVERAGE(log_v1_051524_tc_4[Column15])</totalsRowFormula>
    </tableColumn>
    <tableColumn id="16" xr3:uid="{4503C59E-42A1-4400-9279-03B886CAC951}" uniqueName="16" name="Column16" totalsRowFunction="custom" queryTableFieldId="16">
      <totalsRowFormula>AVERAGE(log_v1_051524_tc_4[Column16])</totalsRowFormula>
    </tableColumn>
    <tableColumn id="17" xr3:uid="{DE26FCC5-7CB9-401E-946E-39EDAE4D6570}" uniqueName="17" name="Column17" queryTableFieldId="17" dataDxfId="92" totalsRowDxfId="93"/>
    <tableColumn id="18" xr3:uid="{FDAFF3B2-67E6-4382-BDF8-528DCA8AB1AD}" uniqueName="18" name="Column18" queryTableFieldId="18" dataDxfId="90" totalsRowDxfId="91"/>
    <tableColumn id="19" xr3:uid="{9D012B8E-D428-4363-9080-6FC7CD17CF39}" uniqueName="19" name="Column19" queryTableFieldId="19" dataDxfId="88" totalsRowDxfId="89"/>
    <tableColumn id="20" xr3:uid="{035A088A-4FE7-4AE2-8DBE-20EB6D0B343D}" uniqueName="20" name="Column20" queryTableFieldId="20" dataDxfId="86" totalsRowDxfId="87"/>
    <tableColumn id="21" xr3:uid="{9F8FDE90-B86A-4D8E-861C-FE76750A4262}" uniqueName="21" name="Column21" queryTableFieldId="21" dataDxfId="84" totalsRowDxfId="85"/>
    <tableColumn id="22" xr3:uid="{ECF821BF-7343-4C11-9FAF-0AF8E489A60F}" uniqueName="22" name="Column22" queryTableFieldId="22" dataDxfId="82" totalsRowDxfId="83"/>
    <tableColumn id="23" xr3:uid="{EE3849EF-B8F3-4B65-9FE5-FCB728863E4E}" uniqueName="23" name="Column23" queryTableFieldId="23" dataDxfId="80" totalsRowDxfId="81"/>
    <tableColumn id="24" xr3:uid="{67B389C7-5D64-4C38-B63C-9666AD0B63BA}" uniqueName="24" name="Column24" queryTableFieldId="24" dataDxfId="78" totalsRowDxfId="79"/>
    <tableColumn id="25" xr3:uid="{ED1E5B6D-1F04-4B08-83FD-A15779BBA7CB}" uniqueName="25" name="Column25" queryTableFieldId="25"/>
    <tableColumn id="26" xr3:uid="{AB553DFF-284C-4818-ACB0-D26AA9ACA5CA}" uniqueName="26" name="Column26" queryTableFieldId="26" dataDxfId="76" totalsRowDxfId="77"/>
    <tableColumn id="27" xr3:uid="{D29C19BC-B8AF-4792-B003-AEE59A2C7FE5}" uniqueName="27" name="Column27" queryTableFieldId="27" dataDxfId="74" totalsRowDxfId="75"/>
    <tableColumn id="28" xr3:uid="{E1204DAD-5DCD-4A2C-B5EE-B7473572B7E5}" uniqueName="28" name="Column28" queryTableFieldId="28" dataDxfId="72" totalsRowDxfId="73"/>
    <tableColumn id="29" xr3:uid="{47709655-942E-47DE-9903-124ED17A2AB6}" uniqueName="29" name="Column29" queryTableFieldId="29"/>
    <tableColumn id="30" xr3:uid="{0F4650C2-2519-42A0-AA68-2E73A22BCC4B}" uniqueName="30" name="Column30" queryTableFieldId="30" dataDxfId="70" totalsRowDxfId="71"/>
    <tableColumn id="31" xr3:uid="{EEFF245A-DC4F-46BC-B309-58472DF37425}" uniqueName="31" name="Column31" queryTableFieldId="31" dataDxfId="68" totalsRowDxfId="69"/>
    <tableColumn id="32" xr3:uid="{7EA4D515-6353-420E-B01F-39E187969D49}" uniqueName="32" name="Column32" queryTableFieldId="32" dataDxfId="66" totalsRowDxfId="67"/>
    <tableColumn id="33" xr3:uid="{3AD12B4C-7464-4AF1-A7FE-18D5B7A2034A}" uniqueName="33" name="Column33" queryTableFieldId="33" dataDxfId="64" totalsRowDxfId="65"/>
    <tableColumn id="34" xr3:uid="{6A38EF31-7B68-4463-B141-8F92BAD284C3}" uniqueName="34" name="Column34" queryTableFieldId="34" dataDxfId="62" totalsRowDxfId="63"/>
    <tableColumn id="35" xr3:uid="{A2786BBC-30F0-47A0-AF98-78BCDD202E47}" uniqueName="35" name="Column35" queryTableFieldId="35" dataDxfId="60" totalsRowDxfId="61"/>
    <tableColumn id="36" xr3:uid="{FC806F8E-AC77-4976-95A8-B04DAF920F14}" uniqueName="36" name="Column36" queryTableFieldId="36" dataDxfId="58" totalsRowDxfId="59"/>
    <tableColumn id="37" xr3:uid="{DB29CFB7-5C47-4232-B88E-4C9DA5E78838}" uniqueName="37" name="Column37" queryTableFieldId="37" dataDxfId="56" totalsRowDxfId="57"/>
    <tableColumn id="38" xr3:uid="{4AD1A9B0-A34A-418E-A231-D8EC1F7AC626}" uniqueName="38" name="Column38" queryTableFieldId="38" dataDxfId="54" totalsRowDxfId="55"/>
    <tableColumn id="39" xr3:uid="{C85772D9-CDCA-40CA-8A7F-CDD2257487A6}" uniqueName="39" name="Column39" queryTableFieldId="39" dataDxfId="52" totalsRowDxfId="53"/>
    <tableColumn id="40" xr3:uid="{93120EC7-E7E1-49D9-A544-5F6A8D913D0A}" uniqueName="40" name="Column40" queryTableFieldId="40" dataDxfId="50" totalsRowDxfId="51"/>
    <tableColumn id="41" xr3:uid="{7E6BE6A8-5C9D-46E2-8C14-DE4DF4770282}" uniqueName="41" name="Column41" queryTableFieldId="41" dataDxfId="48" totalsRowDxfId="49"/>
    <tableColumn id="42" xr3:uid="{B45AB5C3-03E9-4405-8206-6294DFB3C2A9}" uniqueName="42" name="Column42" queryTableFieldId="42" dataDxfId="46" totalsRowDxfId="47"/>
    <tableColumn id="43" xr3:uid="{439321E3-BFAD-4166-8423-A2BB1463FA61}" uniqueName="43" name="Column43" queryTableFieldId="43" dataDxfId="44" totalsRowDxfId="45"/>
    <tableColumn id="44" xr3:uid="{AFB008FB-73E2-4544-B879-8C81E9AD5985}" uniqueName="44" name="Column44" queryTableFieldId="44" dataDxfId="42" totalsRowDxfId="4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39B84E-5CB2-4599-A24E-D8AB49520F6A}" name="log_v1_051524_tc_5" displayName="log_v1_051524_tc_5" ref="A1:AR32" tableType="queryTable" totalsRowCount="1">
  <autoFilter ref="A1:AR31" xr:uid="{2E39B84E-5CB2-4599-A24E-D8AB49520F6A}"/>
  <tableColumns count="44">
    <tableColumn id="1" xr3:uid="{4C9B0119-BCCA-47BD-AF87-E18B382C5CAF}" uniqueName="1" name="Column1" queryTableFieldId="1" dataDxfId="40" totalsRowDxfId="41"/>
    <tableColumn id="2" xr3:uid="{6520E152-18B5-47CA-A978-EE7F60233A95}" uniqueName="2" name="Column2" queryTableFieldId="2" dataDxfId="38" totalsRowDxfId="39"/>
    <tableColumn id="3" xr3:uid="{31184B13-FC93-4A28-8EAF-9F8212FF702C}" uniqueName="3" name="Column3" queryTableFieldId="3" dataDxfId="37"/>
    <tableColumn id="4" xr3:uid="{187FA911-F875-4EC7-B137-10CBD0E6AA8A}" uniqueName="4" name="Column4" queryTableFieldId="4" dataDxfId="36"/>
    <tableColumn id="5" xr3:uid="{09C5CECC-7132-484C-9747-A4517CEC1239}" uniqueName="5" name="Column5" totalsRowFunction="custom" queryTableFieldId="5" totalsRowDxfId="35">
      <totalsRowFormula>AVERAGE(log_v1_051524_tc_5[Column5])</totalsRowFormula>
    </tableColumn>
    <tableColumn id="6" xr3:uid="{940B6925-9D14-426E-9CDF-ABE2BBDF53D1}" uniqueName="6" name="Column6" queryTableFieldId="6" dataDxfId="34"/>
    <tableColumn id="7" xr3:uid="{F87472FC-6C8F-4A6B-A87F-81F396A0FDF7}" uniqueName="7" name="Column7" queryTableFieldId="7" dataDxfId="33"/>
    <tableColumn id="8" xr3:uid="{DC18559D-0300-4BDD-A3AD-C81D39A296E6}" uniqueName="8" name="Column8" queryTableFieldId="8" dataDxfId="32"/>
    <tableColumn id="9" xr3:uid="{31A00E61-CF0E-4766-9A4A-6EC9AF4B5A8A}" uniqueName="9" name="Column9" totalsRowFunction="custom" queryTableFieldId="9" totalsRowDxfId="31">
      <totalsRowFormula>AVERAGE(log_v1_051524_tc_5[Column9])</totalsRowFormula>
    </tableColumn>
    <tableColumn id="10" xr3:uid="{1839E15B-EFDB-45CD-8DF2-1EC71D036519}" uniqueName="10" name="Column10" queryTableFieldId="10" dataDxfId="30"/>
    <tableColumn id="11" xr3:uid="{D2142FBE-FA85-4790-869F-57D5DF63C2C9}" uniqueName="11" name="Column11" queryTableFieldId="11" dataDxfId="29"/>
    <tableColumn id="12" xr3:uid="{C760CFD4-811D-492B-A69B-D06739534168}" uniqueName="12" name="Column12" queryTableFieldId="12" dataDxfId="28"/>
    <tableColumn id="13" xr3:uid="{CD27A139-4060-46DC-82AA-15715EAF29F6}" uniqueName="13" name="Column13" queryTableFieldId="13" dataDxfId="27"/>
    <tableColumn id="14" xr3:uid="{A9974127-882A-4F47-8C14-F08B0C11DE22}" uniqueName="14" name="Column14" queryTableFieldId="14" dataDxfId="26"/>
    <tableColumn id="15" xr3:uid="{0844A18D-D321-4DE1-95F3-DAA6305F2CD6}" uniqueName="15" name="Column15" totalsRowFunction="custom" queryTableFieldId="15">
      <totalsRowFormula>AVERAGE(log_v1_051524_tc_5[Column15])</totalsRowFormula>
    </tableColumn>
    <tableColumn id="16" xr3:uid="{DECA6817-D99B-474D-9D7C-1E396264C28A}" uniqueName="16" name="Column16" totalsRowFunction="custom" queryTableFieldId="16">
      <totalsRowFormula>AVERAGE(log_v1_051524_tc_5[Column16])</totalsRowFormula>
    </tableColumn>
    <tableColumn id="17" xr3:uid="{66D4F866-DFF7-4F38-B759-1DA683D97234}" uniqueName="17" name="Column17" queryTableFieldId="17" dataDxfId="25"/>
    <tableColumn id="18" xr3:uid="{0C84058E-2C33-4F06-8751-3AC32E21A88B}" uniqueName="18" name="Column18" queryTableFieldId="18" dataDxfId="24"/>
    <tableColumn id="19" xr3:uid="{280E9CB8-2BDC-4ACE-9BDA-220E7C888443}" uniqueName="19" name="Column19" queryTableFieldId="19" dataDxfId="23"/>
    <tableColumn id="20" xr3:uid="{CD8427F0-F50C-4DB9-8011-90BBA4A0CC25}" uniqueName="20" name="Column20" queryTableFieldId="20" dataDxfId="22"/>
    <tableColumn id="21" xr3:uid="{EA1628E2-E00E-4978-A86F-538226CBA77E}" uniqueName="21" name="Column21" queryTableFieldId="21" dataDxfId="21"/>
    <tableColumn id="22" xr3:uid="{DED2E43E-9F37-4337-8EAC-D339BDE6B130}" uniqueName="22" name="Column22" queryTableFieldId="22" dataDxfId="20"/>
    <tableColumn id="23" xr3:uid="{505D7FF7-C81F-4D1E-809F-57005818BEEA}" uniqueName="23" name="Column23" queryTableFieldId="23" dataDxfId="19"/>
    <tableColumn id="24" xr3:uid="{E029B684-DA06-468F-BB71-58CB18BC43F6}" uniqueName="24" name="Column24" queryTableFieldId="24" dataDxfId="18"/>
    <tableColumn id="25" xr3:uid="{7D2D0AF3-2AA0-492C-A710-44E4EB685657}" uniqueName="25" name="Column25" queryTableFieldId="25"/>
    <tableColumn id="26" xr3:uid="{A38AB8F6-29E6-4D5E-97A6-6E716452C121}" uniqueName="26" name="Column26" queryTableFieldId="26" dataDxfId="17"/>
    <tableColumn id="27" xr3:uid="{7E6703A0-7EA4-44C8-B41D-4B805AC63D7A}" uniqueName="27" name="Column27" queryTableFieldId="27" dataDxfId="16"/>
    <tableColumn id="28" xr3:uid="{63285046-4687-4D7F-B5BF-24FD15FEC78A}" uniqueName="28" name="Column28" queryTableFieldId="28" dataDxfId="15"/>
    <tableColumn id="29" xr3:uid="{84015B03-0001-4F55-A08B-CE647D3CE306}" uniqueName="29" name="Column29" queryTableFieldId="29"/>
    <tableColumn id="30" xr3:uid="{E6547EFD-CA1C-4E63-A53C-A8ED3BDDCA3A}" uniqueName="30" name="Column30" queryTableFieldId="30" dataDxfId="14"/>
    <tableColumn id="31" xr3:uid="{0EEB5ED0-1608-45D7-B521-928870241329}" uniqueName="31" name="Column31" queryTableFieldId="31" dataDxfId="13"/>
    <tableColumn id="32" xr3:uid="{D7249AC6-9CDD-44F5-BCAA-DA538D1FA257}" uniqueName="32" name="Column32" queryTableFieldId="32" dataDxfId="12"/>
    <tableColumn id="33" xr3:uid="{BC58E823-5B21-48E6-918B-4E1FEE419FC8}" uniqueName="33" name="Column33" queryTableFieldId="33" dataDxfId="11"/>
    <tableColumn id="34" xr3:uid="{2DAE49DC-48D2-4280-A9CA-25BD1D06233D}" uniqueName="34" name="Column34" queryTableFieldId="34" dataDxfId="10"/>
    <tableColumn id="35" xr3:uid="{8C812B2C-F89B-4C48-BF72-8005A2631068}" uniqueName="35" name="Column35" queryTableFieldId="35" dataDxfId="9"/>
    <tableColumn id="36" xr3:uid="{7DB3D63C-374C-42EA-B36A-6F62C55880BC}" uniqueName="36" name="Column36" queryTableFieldId="36" dataDxfId="8"/>
    <tableColumn id="37" xr3:uid="{9ED6E207-391F-41EA-89C9-D9129C31B9C1}" uniqueName="37" name="Column37" queryTableFieldId="37" dataDxfId="7"/>
    <tableColumn id="38" xr3:uid="{E767953A-C5C2-46A6-95F6-E671F7395A0D}" uniqueName="38" name="Column38" queryTableFieldId="38" dataDxfId="6"/>
    <tableColumn id="39" xr3:uid="{4BC348FC-EC22-4CD1-8F36-684788AC2900}" uniqueName="39" name="Column39" queryTableFieldId="39" dataDxfId="5"/>
    <tableColumn id="40" xr3:uid="{3AE1BE90-30DC-45CF-90CD-35A08491961A}" uniqueName="40" name="Column40" queryTableFieldId="40" dataDxfId="4"/>
    <tableColumn id="41" xr3:uid="{C9F68ED5-171D-4267-AF8F-5C36CE5B5744}" uniqueName="41" name="Column41" queryTableFieldId="41" dataDxfId="3"/>
    <tableColumn id="42" xr3:uid="{46163039-31CF-4A13-9561-44FB9C8DB665}" uniqueName="42" name="Column42" queryTableFieldId="42" dataDxfId="2"/>
    <tableColumn id="43" xr3:uid="{E159C9AE-5927-45EC-B514-B0311506F8A7}" uniqueName="43" name="Column43" queryTableFieldId="43" dataDxfId="1"/>
    <tableColumn id="44" xr3:uid="{4E2DFB53-DD73-4376-B44F-2089E827C5BA}" uniqueName="44" name="Column44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6170-34D9-46D8-8A95-8434C676C45C}">
  <dimension ref="A1:AR43"/>
  <sheetViews>
    <sheetView topLeftCell="D25" workbookViewId="0">
      <selection activeCell="P43" sqref="P43"/>
    </sheetView>
  </sheetViews>
  <sheetFormatPr defaultRowHeight="14.45"/>
  <cols>
    <col min="1" max="9" width="10.7109375" bestFit="1" customWidth="1"/>
    <col min="10" max="41" width="11.7109375" bestFit="1" customWidth="1"/>
    <col min="42" max="42" width="25.7109375" bestFit="1" customWidth="1"/>
    <col min="43" max="44" width="11.7109375" bestFit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45427</v>
      </c>
      <c r="B2" s="2">
        <v>0.22578703703703704</v>
      </c>
      <c r="C2" t="s">
        <v>44</v>
      </c>
      <c r="D2" t="s">
        <v>45</v>
      </c>
      <c r="E2">
        <v>0.152</v>
      </c>
      <c r="F2" t="s">
        <v>46</v>
      </c>
      <c r="G2" t="s">
        <v>47</v>
      </c>
      <c r="H2" t="s">
        <v>45</v>
      </c>
      <c r="I2">
        <v>0.21809999999999999</v>
      </c>
      <c r="J2" t="s">
        <v>46</v>
      </c>
      <c r="K2" t="s">
        <v>48</v>
      </c>
      <c r="L2" t="s">
        <v>49</v>
      </c>
      <c r="M2" t="s">
        <v>50</v>
      </c>
      <c r="N2" t="s">
        <v>51</v>
      </c>
      <c r="O2">
        <v>3.45</v>
      </c>
      <c r="P2">
        <v>8.27</v>
      </c>
      <c r="Q2" t="s">
        <v>46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56</v>
      </c>
      <c r="X2" t="s">
        <v>57</v>
      </c>
      <c r="Y2">
        <v>2.0299999999999998</v>
      </c>
      <c r="Z2" t="s">
        <v>46</v>
      </c>
      <c r="AA2" t="s">
        <v>58</v>
      </c>
      <c r="AB2" t="s">
        <v>59</v>
      </c>
      <c r="AC2">
        <v>285</v>
      </c>
      <c r="AD2" t="s">
        <v>46</v>
      </c>
      <c r="AE2" t="s">
        <v>60</v>
      </c>
      <c r="AF2" t="s">
        <v>45</v>
      </c>
      <c r="AG2" t="s">
        <v>46</v>
      </c>
      <c r="AH2" t="s">
        <v>61</v>
      </c>
      <c r="AI2" t="s">
        <v>48</v>
      </c>
      <c r="AJ2" t="s">
        <v>62</v>
      </c>
      <c r="AK2" t="s">
        <v>63</v>
      </c>
      <c r="AL2" t="s">
        <v>64</v>
      </c>
      <c r="AM2" t="s">
        <v>46</v>
      </c>
      <c r="AN2" t="s">
        <v>60</v>
      </c>
      <c r="AO2" t="s">
        <v>62</v>
      </c>
      <c r="AP2" t="s">
        <v>65</v>
      </c>
      <c r="AQ2" t="s">
        <v>66</v>
      </c>
      <c r="AR2" t="s">
        <v>67</v>
      </c>
    </row>
    <row r="3" spans="1:44">
      <c r="A3" s="1">
        <v>45427</v>
      </c>
      <c r="B3" s="2">
        <v>0.22583333333333333</v>
      </c>
      <c r="C3" t="s">
        <v>44</v>
      </c>
      <c r="D3" t="s">
        <v>45</v>
      </c>
      <c r="E3">
        <v>0.39400000000000002</v>
      </c>
      <c r="F3" t="s">
        <v>46</v>
      </c>
      <c r="G3" t="s">
        <v>47</v>
      </c>
      <c r="H3" t="s">
        <v>45</v>
      </c>
      <c r="I3">
        <v>0.21829999999999999</v>
      </c>
      <c r="J3" t="s">
        <v>46</v>
      </c>
      <c r="K3" t="s">
        <v>48</v>
      </c>
      <c r="L3" t="s">
        <v>49</v>
      </c>
      <c r="M3" t="s">
        <v>50</v>
      </c>
      <c r="N3" t="s">
        <v>51</v>
      </c>
      <c r="O3">
        <v>3.45</v>
      </c>
      <c r="P3">
        <v>8.27</v>
      </c>
      <c r="Q3" t="s">
        <v>46</v>
      </c>
      <c r="R3" t="s">
        <v>52</v>
      </c>
      <c r="S3" t="s">
        <v>53</v>
      </c>
      <c r="T3" t="s">
        <v>46</v>
      </c>
      <c r="U3" t="s">
        <v>54</v>
      </c>
      <c r="V3" t="s">
        <v>55</v>
      </c>
      <c r="W3" t="s">
        <v>68</v>
      </c>
      <c r="X3" t="s">
        <v>69</v>
      </c>
      <c r="Y3">
        <v>2.02</v>
      </c>
      <c r="Z3" t="s">
        <v>46</v>
      </c>
      <c r="AA3" t="s">
        <v>58</v>
      </c>
      <c r="AB3" t="s">
        <v>59</v>
      </c>
      <c r="AC3">
        <v>286</v>
      </c>
      <c r="AD3" t="s">
        <v>46</v>
      </c>
      <c r="AE3" t="s">
        <v>60</v>
      </c>
      <c r="AF3" t="s">
        <v>45</v>
      </c>
      <c r="AG3" t="s">
        <v>46</v>
      </c>
      <c r="AH3" t="s">
        <v>61</v>
      </c>
      <c r="AI3" t="s">
        <v>48</v>
      </c>
      <c r="AJ3" t="s">
        <v>62</v>
      </c>
      <c r="AK3" t="s">
        <v>63</v>
      </c>
      <c r="AL3" t="s">
        <v>64</v>
      </c>
      <c r="AM3" t="s">
        <v>46</v>
      </c>
      <c r="AN3" t="s">
        <v>60</v>
      </c>
      <c r="AO3" t="s">
        <v>62</v>
      </c>
      <c r="AP3" t="s">
        <v>70</v>
      </c>
      <c r="AQ3" t="s">
        <v>66</v>
      </c>
      <c r="AR3" t="s">
        <v>67</v>
      </c>
    </row>
    <row r="4" spans="1:44">
      <c r="A4" s="1">
        <v>45427</v>
      </c>
      <c r="B4" s="2">
        <v>0.22587962962962962</v>
      </c>
      <c r="C4" t="s">
        <v>44</v>
      </c>
      <c r="D4" t="s">
        <v>45</v>
      </c>
      <c r="E4">
        <v>0.93899999999999995</v>
      </c>
      <c r="F4" t="s">
        <v>46</v>
      </c>
      <c r="G4" t="s">
        <v>47</v>
      </c>
      <c r="H4" t="s">
        <v>45</v>
      </c>
      <c r="I4">
        <v>0.2203</v>
      </c>
      <c r="J4" t="s">
        <v>46</v>
      </c>
      <c r="K4" t="s">
        <v>48</v>
      </c>
      <c r="L4" t="s">
        <v>49</v>
      </c>
      <c r="M4" t="s">
        <v>50</v>
      </c>
      <c r="N4" t="s">
        <v>51</v>
      </c>
      <c r="O4">
        <v>3.45</v>
      </c>
      <c r="P4">
        <v>8.27</v>
      </c>
      <c r="Q4" t="s">
        <v>46</v>
      </c>
      <c r="R4" t="s">
        <v>52</v>
      </c>
      <c r="S4" t="s">
        <v>53</v>
      </c>
      <c r="T4" t="s">
        <v>46</v>
      </c>
      <c r="U4" t="s">
        <v>54</v>
      </c>
      <c r="V4" t="s">
        <v>55</v>
      </c>
      <c r="W4" t="s">
        <v>71</v>
      </c>
      <c r="X4" t="s">
        <v>69</v>
      </c>
      <c r="Y4">
        <v>2.02</v>
      </c>
      <c r="Z4" t="s">
        <v>46</v>
      </c>
      <c r="AA4" t="s">
        <v>58</v>
      </c>
      <c r="AB4" t="s">
        <v>59</v>
      </c>
      <c r="AC4">
        <v>286</v>
      </c>
      <c r="AD4" t="s">
        <v>46</v>
      </c>
      <c r="AE4" t="s">
        <v>60</v>
      </c>
      <c r="AF4" t="s">
        <v>45</v>
      </c>
      <c r="AG4" t="s">
        <v>46</v>
      </c>
      <c r="AH4" t="s">
        <v>61</v>
      </c>
      <c r="AI4" t="s">
        <v>48</v>
      </c>
      <c r="AJ4" t="s">
        <v>62</v>
      </c>
      <c r="AK4" t="s">
        <v>63</v>
      </c>
      <c r="AL4" t="s">
        <v>64</v>
      </c>
      <c r="AM4" t="s">
        <v>46</v>
      </c>
      <c r="AN4" t="s">
        <v>60</v>
      </c>
      <c r="AO4" t="s">
        <v>62</v>
      </c>
      <c r="AP4" t="s">
        <v>72</v>
      </c>
      <c r="AQ4" t="s">
        <v>66</v>
      </c>
      <c r="AR4" t="s">
        <v>67</v>
      </c>
    </row>
    <row r="5" spans="1:44">
      <c r="A5" s="1">
        <v>45427</v>
      </c>
      <c r="B5" s="2">
        <v>0.22593750000000001</v>
      </c>
      <c r="C5" t="s">
        <v>44</v>
      </c>
      <c r="D5" t="s">
        <v>45</v>
      </c>
      <c r="E5">
        <v>0.75</v>
      </c>
      <c r="F5" t="s">
        <v>46</v>
      </c>
      <c r="G5" t="s">
        <v>47</v>
      </c>
      <c r="H5" t="s">
        <v>45</v>
      </c>
      <c r="I5">
        <v>0.2223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>
        <v>3.45</v>
      </c>
      <c r="P5">
        <v>8.27</v>
      </c>
      <c r="Q5" t="s">
        <v>46</v>
      </c>
      <c r="R5" t="s">
        <v>52</v>
      </c>
      <c r="S5" t="s">
        <v>53</v>
      </c>
      <c r="T5" t="s">
        <v>46</v>
      </c>
      <c r="U5" t="s">
        <v>54</v>
      </c>
      <c r="V5" t="s">
        <v>55</v>
      </c>
      <c r="W5" t="s">
        <v>71</v>
      </c>
      <c r="X5" t="s">
        <v>69</v>
      </c>
      <c r="Y5">
        <v>2.02</v>
      </c>
      <c r="Z5" t="s">
        <v>46</v>
      </c>
      <c r="AA5" t="s">
        <v>58</v>
      </c>
      <c r="AB5" t="s">
        <v>59</v>
      </c>
      <c r="AC5">
        <v>286</v>
      </c>
      <c r="AD5" t="s">
        <v>46</v>
      </c>
      <c r="AE5" t="s">
        <v>60</v>
      </c>
      <c r="AF5" t="s">
        <v>45</v>
      </c>
      <c r="AG5" t="s">
        <v>46</v>
      </c>
      <c r="AH5" t="s">
        <v>61</v>
      </c>
      <c r="AI5" t="s">
        <v>48</v>
      </c>
      <c r="AJ5" t="s">
        <v>62</v>
      </c>
      <c r="AK5" t="s">
        <v>63</v>
      </c>
      <c r="AL5" t="s">
        <v>64</v>
      </c>
      <c r="AM5" t="s">
        <v>46</v>
      </c>
      <c r="AN5" t="s">
        <v>60</v>
      </c>
      <c r="AO5" t="s">
        <v>62</v>
      </c>
      <c r="AP5" t="s">
        <v>73</v>
      </c>
      <c r="AQ5" t="s">
        <v>66</v>
      </c>
      <c r="AR5" t="s">
        <v>67</v>
      </c>
    </row>
    <row r="6" spans="1:44">
      <c r="A6" s="1">
        <v>45427</v>
      </c>
      <c r="B6" s="2">
        <v>0.22598379629629631</v>
      </c>
      <c r="C6" t="s">
        <v>44</v>
      </c>
      <c r="D6" t="s">
        <v>45</v>
      </c>
      <c r="E6">
        <v>0.78800000000000003</v>
      </c>
      <c r="F6" t="s">
        <v>46</v>
      </c>
      <c r="G6" t="s">
        <v>47</v>
      </c>
      <c r="H6" t="s">
        <v>45</v>
      </c>
      <c r="I6">
        <v>0.22259999999999999</v>
      </c>
      <c r="J6" t="s">
        <v>46</v>
      </c>
      <c r="K6" t="s">
        <v>48</v>
      </c>
      <c r="L6" t="s">
        <v>49</v>
      </c>
      <c r="M6" t="s">
        <v>50</v>
      </c>
      <c r="N6" t="s">
        <v>51</v>
      </c>
      <c r="O6">
        <v>3.45</v>
      </c>
      <c r="P6">
        <v>8.27</v>
      </c>
      <c r="Q6" t="s">
        <v>46</v>
      </c>
      <c r="R6" t="s">
        <v>52</v>
      </c>
      <c r="S6" t="s">
        <v>53</v>
      </c>
      <c r="T6" t="s">
        <v>46</v>
      </c>
      <c r="U6" t="s">
        <v>54</v>
      </c>
      <c r="V6" t="s">
        <v>55</v>
      </c>
      <c r="W6" t="s">
        <v>74</v>
      </c>
      <c r="X6" t="s">
        <v>75</v>
      </c>
      <c r="Y6">
        <v>2.02</v>
      </c>
      <c r="Z6" t="s">
        <v>46</v>
      </c>
      <c r="AA6" t="s">
        <v>58</v>
      </c>
      <c r="AB6" t="s">
        <v>59</v>
      </c>
      <c r="AC6">
        <v>287</v>
      </c>
      <c r="AD6" t="s">
        <v>46</v>
      </c>
      <c r="AE6" t="s">
        <v>60</v>
      </c>
      <c r="AF6" t="s">
        <v>45</v>
      </c>
      <c r="AG6" t="s">
        <v>46</v>
      </c>
      <c r="AH6" t="s">
        <v>61</v>
      </c>
      <c r="AI6" t="s">
        <v>48</v>
      </c>
      <c r="AJ6" t="s">
        <v>62</v>
      </c>
      <c r="AK6" t="s">
        <v>63</v>
      </c>
      <c r="AL6" t="s">
        <v>64</v>
      </c>
      <c r="AM6" t="s">
        <v>46</v>
      </c>
      <c r="AN6" t="s">
        <v>60</v>
      </c>
      <c r="AO6" t="s">
        <v>62</v>
      </c>
      <c r="AP6" t="s">
        <v>76</v>
      </c>
      <c r="AQ6" t="s">
        <v>66</v>
      </c>
      <c r="AR6" t="s">
        <v>67</v>
      </c>
    </row>
    <row r="7" spans="1:44">
      <c r="A7" s="1">
        <v>45427</v>
      </c>
      <c r="B7" s="2">
        <v>0.2260300925925926</v>
      </c>
      <c r="C7" t="s">
        <v>44</v>
      </c>
      <c r="D7" t="s">
        <v>45</v>
      </c>
      <c r="E7">
        <v>0.59499999999999997</v>
      </c>
      <c r="F7" t="s">
        <v>46</v>
      </c>
      <c r="G7" t="s">
        <v>47</v>
      </c>
      <c r="H7" t="s">
        <v>45</v>
      </c>
      <c r="I7">
        <v>0.22270000000000001</v>
      </c>
      <c r="J7" t="s">
        <v>46</v>
      </c>
      <c r="K7" t="s">
        <v>48</v>
      </c>
      <c r="L7" t="s">
        <v>49</v>
      </c>
      <c r="M7" t="s">
        <v>50</v>
      </c>
      <c r="N7" t="s">
        <v>51</v>
      </c>
      <c r="O7">
        <v>3.45</v>
      </c>
      <c r="P7">
        <v>8.27</v>
      </c>
      <c r="Q7" t="s">
        <v>46</v>
      </c>
      <c r="R7" t="s">
        <v>52</v>
      </c>
      <c r="S7" t="s">
        <v>53</v>
      </c>
      <c r="T7" t="s">
        <v>46</v>
      </c>
      <c r="U7" t="s">
        <v>54</v>
      </c>
      <c r="V7" t="s">
        <v>55</v>
      </c>
      <c r="W7" t="s">
        <v>77</v>
      </c>
      <c r="X7" t="s">
        <v>78</v>
      </c>
      <c r="Y7">
        <v>2.02</v>
      </c>
      <c r="Z7" t="s">
        <v>46</v>
      </c>
      <c r="AA7" t="s">
        <v>58</v>
      </c>
      <c r="AB7" t="s">
        <v>59</v>
      </c>
      <c r="AC7">
        <v>286</v>
      </c>
      <c r="AD7" t="s">
        <v>46</v>
      </c>
      <c r="AE7" t="s">
        <v>60</v>
      </c>
      <c r="AF7" t="s">
        <v>45</v>
      </c>
      <c r="AG7" t="s">
        <v>46</v>
      </c>
      <c r="AH7" t="s">
        <v>61</v>
      </c>
      <c r="AI7" t="s">
        <v>48</v>
      </c>
      <c r="AJ7" t="s">
        <v>62</v>
      </c>
      <c r="AK7" t="s">
        <v>63</v>
      </c>
      <c r="AL7" t="s">
        <v>64</v>
      </c>
      <c r="AM7" t="s">
        <v>46</v>
      </c>
      <c r="AN7" t="s">
        <v>60</v>
      </c>
      <c r="AO7" t="s">
        <v>62</v>
      </c>
      <c r="AP7" t="s">
        <v>79</v>
      </c>
      <c r="AQ7" t="s">
        <v>66</v>
      </c>
      <c r="AR7" t="s">
        <v>67</v>
      </c>
    </row>
    <row r="8" spans="1:44">
      <c r="A8" s="1">
        <v>45427</v>
      </c>
      <c r="B8" s="2">
        <v>0.2260763888888889</v>
      </c>
      <c r="C8" t="s">
        <v>44</v>
      </c>
      <c r="D8" t="s">
        <v>45</v>
      </c>
      <c r="E8">
        <v>0.67700000000000005</v>
      </c>
      <c r="F8" t="s">
        <v>46</v>
      </c>
      <c r="G8" t="s">
        <v>47</v>
      </c>
      <c r="H8" t="s">
        <v>45</v>
      </c>
      <c r="I8">
        <v>0.22270000000000001</v>
      </c>
      <c r="J8" t="s">
        <v>46</v>
      </c>
      <c r="K8" t="s">
        <v>48</v>
      </c>
      <c r="L8" t="s">
        <v>49</v>
      </c>
      <c r="M8" t="s">
        <v>50</v>
      </c>
      <c r="N8" t="s">
        <v>51</v>
      </c>
      <c r="O8">
        <v>3.45</v>
      </c>
      <c r="P8">
        <v>8.27</v>
      </c>
      <c r="Q8" t="s">
        <v>46</v>
      </c>
      <c r="R8" t="s">
        <v>52</v>
      </c>
      <c r="S8" t="s">
        <v>53</v>
      </c>
      <c r="T8" t="s">
        <v>46</v>
      </c>
      <c r="U8" t="s">
        <v>54</v>
      </c>
      <c r="V8" t="s">
        <v>55</v>
      </c>
      <c r="W8" t="s">
        <v>74</v>
      </c>
      <c r="X8" t="s">
        <v>80</v>
      </c>
      <c r="Y8">
        <v>2.0099999999999998</v>
      </c>
      <c r="Z8" t="s">
        <v>46</v>
      </c>
      <c r="AA8" t="s">
        <v>58</v>
      </c>
      <c r="AB8" t="s">
        <v>59</v>
      </c>
      <c r="AC8">
        <v>286</v>
      </c>
      <c r="AD8" t="s">
        <v>46</v>
      </c>
      <c r="AE8" t="s">
        <v>60</v>
      </c>
      <c r="AF8" t="s">
        <v>45</v>
      </c>
      <c r="AG8" t="s">
        <v>46</v>
      </c>
      <c r="AH8" t="s">
        <v>61</v>
      </c>
      <c r="AI8" t="s">
        <v>48</v>
      </c>
      <c r="AJ8" t="s">
        <v>62</v>
      </c>
      <c r="AK8" t="s">
        <v>63</v>
      </c>
      <c r="AL8" t="s">
        <v>64</v>
      </c>
      <c r="AM8" t="s">
        <v>46</v>
      </c>
      <c r="AN8" t="s">
        <v>60</v>
      </c>
      <c r="AO8" t="s">
        <v>62</v>
      </c>
      <c r="AP8" t="s">
        <v>81</v>
      </c>
      <c r="AQ8" t="s">
        <v>66</v>
      </c>
      <c r="AR8" t="s">
        <v>67</v>
      </c>
    </row>
    <row r="9" spans="1:44">
      <c r="A9" s="1">
        <v>45427</v>
      </c>
      <c r="B9" s="2">
        <v>0.22613425925925926</v>
      </c>
      <c r="C9" t="s">
        <v>44</v>
      </c>
      <c r="D9" t="s">
        <v>45</v>
      </c>
      <c r="E9">
        <v>0.48499999999999999</v>
      </c>
      <c r="F9" t="s">
        <v>46</v>
      </c>
      <c r="G9" t="s">
        <v>47</v>
      </c>
      <c r="H9" t="s">
        <v>45</v>
      </c>
      <c r="I9">
        <v>0.2225</v>
      </c>
      <c r="J9" t="s">
        <v>46</v>
      </c>
      <c r="K9" t="s">
        <v>48</v>
      </c>
      <c r="L9" t="s">
        <v>49</v>
      </c>
      <c r="M9" t="s">
        <v>50</v>
      </c>
      <c r="N9" t="s">
        <v>51</v>
      </c>
      <c r="O9">
        <v>3.45</v>
      </c>
      <c r="P9">
        <v>8.27</v>
      </c>
      <c r="Q9" t="s">
        <v>46</v>
      </c>
      <c r="R9" t="s">
        <v>52</v>
      </c>
      <c r="S9" t="s">
        <v>53</v>
      </c>
      <c r="T9" t="s">
        <v>46</v>
      </c>
      <c r="U9" t="s">
        <v>54</v>
      </c>
      <c r="V9" t="s">
        <v>55</v>
      </c>
      <c r="W9" t="s">
        <v>82</v>
      </c>
      <c r="X9" t="s">
        <v>83</v>
      </c>
      <c r="Y9">
        <v>2</v>
      </c>
      <c r="Z9" t="s">
        <v>46</v>
      </c>
      <c r="AA9" t="s">
        <v>58</v>
      </c>
      <c r="AB9" t="s">
        <v>59</v>
      </c>
      <c r="AC9">
        <v>286</v>
      </c>
      <c r="AD9" t="s">
        <v>46</v>
      </c>
      <c r="AE9" t="s">
        <v>60</v>
      </c>
      <c r="AF9" t="s">
        <v>45</v>
      </c>
      <c r="AG9" t="s">
        <v>46</v>
      </c>
      <c r="AH9" t="s">
        <v>61</v>
      </c>
      <c r="AI9" t="s">
        <v>48</v>
      </c>
      <c r="AJ9" t="s">
        <v>62</v>
      </c>
      <c r="AK9" t="s">
        <v>63</v>
      </c>
      <c r="AL9" t="s">
        <v>64</v>
      </c>
      <c r="AM9" t="s">
        <v>46</v>
      </c>
      <c r="AN9" t="s">
        <v>60</v>
      </c>
      <c r="AO9" t="s">
        <v>62</v>
      </c>
      <c r="AP9" t="s">
        <v>84</v>
      </c>
      <c r="AQ9" t="s">
        <v>66</v>
      </c>
      <c r="AR9" t="s">
        <v>67</v>
      </c>
    </row>
    <row r="10" spans="1:44">
      <c r="A10" s="1">
        <v>45427</v>
      </c>
      <c r="B10" s="2">
        <v>0.22618055555555555</v>
      </c>
      <c r="C10" t="s">
        <v>44</v>
      </c>
      <c r="D10" t="s">
        <v>45</v>
      </c>
      <c r="E10">
        <v>0.47099999999999997</v>
      </c>
      <c r="F10" t="s">
        <v>46</v>
      </c>
      <c r="G10" t="s">
        <v>47</v>
      </c>
      <c r="H10" t="s">
        <v>45</v>
      </c>
      <c r="I10">
        <v>0.22270000000000001</v>
      </c>
      <c r="J10" t="s">
        <v>46</v>
      </c>
      <c r="K10" t="s">
        <v>48</v>
      </c>
      <c r="L10" t="s">
        <v>49</v>
      </c>
      <c r="M10" t="s">
        <v>50</v>
      </c>
      <c r="N10" t="s">
        <v>51</v>
      </c>
      <c r="O10">
        <v>3.45</v>
      </c>
      <c r="P10">
        <v>8.27</v>
      </c>
      <c r="Q10" t="s">
        <v>46</v>
      </c>
      <c r="R10" t="s">
        <v>52</v>
      </c>
      <c r="S10" t="s">
        <v>53</v>
      </c>
      <c r="T10" t="s">
        <v>46</v>
      </c>
      <c r="U10" t="s">
        <v>54</v>
      </c>
      <c r="V10" t="s">
        <v>55</v>
      </c>
      <c r="W10" t="s">
        <v>85</v>
      </c>
      <c r="X10" t="s">
        <v>86</v>
      </c>
      <c r="Y10">
        <v>1.99</v>
      </c>
      <c r="Z10" t="s">
        <v>46</v>
      </c>
      <c r="AA10" t="s">
        <v>58</v>
      </c>
      <c r="AB10" t="s">
        <v>59</v>
      </c>
      <c r="AC10">
        <v>286</v>
      </c>
      <c r="AD10" t="s">
        <v>46</v>
      </c>
      <c r="AE10" t="s">
        <v>60</v>
      </c>
      <c r="AF10" t="s">
        <v>45</v>
      </c>
      <c r="AG10" t="s">
        <v>46</v>
      </c>
      <c r="AH10" t="s">
        <v>61</v>
      </c>
      <c r="AI10" t="s">
        <v>48</v>
      </c>
      <c r="AJ10" t="s">
        <v>62</v>
      </c>
      <c r="AK10" t="s">
        <v>63</v>
      </c>
      <c r="AL10" t="s">
        <v>64</v>
      </c>
      <c r="AM10" t="s">
        <v>46</v>
      </c>
      <c r="AN10" t="s">
        <v>60</v>
      </c>
      <c r="AO10" t="s">
        <v>62</v>
      </c>
      <c r="AP10" t="s">
        <v>87</v>
      </c>
      <c r="AQ10" t="s">
        <v>66</v>
      </c>
      <c r="AR10" t="s">
        <v>67</v>
      </c>
    </row>
    <row r="11" spans="1:44">
      <c r="A11" s="1">
        <v>45427</v>
      </c>
      <c r="B11" s="2">
        <v>0.22622685185185185</v>
      </c>
      <c r="C11" t="s">
        <v>44</v>
      </c>
      <c r="D11" t="s">
        <v>45</v>
      </c>
      <c r="E11">
        <v>0.42399999999999999</v>
      </c>
      <c r="F11" t="s">
        <v>46</v>
      </c>
      <c r="G11" t="s">
        <v>47</v>
      </c>
      <c r="H11" t="s">
        <v>45</v>
      </c>
      <c r="I11">
        <v>0.22270000000000001</v>
      </c>
      <c r="J11" t="s">
        <v>46</v>
      </c>
      <c r="K11" t="s">
        <v>48</v>
      </c>
      <c r="L11" t="s">
        <v>49</v>
      </c>
      <c r="M11" t="s">
        <v>50</v>
      </c>
      <c r="N11" t="s">
        <v>51</v>
      </c>
      <c r="O11">
        <v>3.45</v>
      </c>
      <c r="P11">
        <v>8.27</v>
      </c>
      <c r="Q11" t="s">
        <v>46</v>
      </c>
      <c r="R11" t="s">
        <v>52</v>
      </c>
      <c r="S11" t="s">
        <v>53</v>
      </c>
      <c r="T11" t="s">
        <v>46</v>
      </c>
      <c r="U11" t="s">
        <v>54</v>
      </c>
      <c r="V11" t="s">
        <v>55</v>
      </c>
      <c r="W11" t="s">
        <v>88</v>
      </c>
      <c r="X11" t="s">
        <v>89</v>
      </c>
      <c r="Y11">
        <v>1.98</v>
      </c>
      <c r="Z11" t="s">
        <v>46</v>
      </c>
      <c r="AA11" t="s">
        <v>58</v>
      </c>
      <c r="AB11" t="s">
        <v>59</v>
      </c>
      <c r="AC11">
        <v>286</v>
      </c>
      <c r="AD11" t="s">
        <v>46</v>
      </c>
      <c r="AE11" t="s">
        <v>60</v>
      </c>
      <c r="AF11" t="s">
        <v>45</v>
      </c>
      <c r="AG11" t="s">
        <v>46</v>
      </c>
      <c r="AH11" t="s">
        <v>61</v>
      </c>
      <c r="AI11" t="s">
        <v>48</v>
      </c>
      <c r="AJ11" t="s">
        <v>62</v>
      </c>
      <c r="AK11" t="s">
        <v>63</v>
      </c>
      <c r="AL11" t="s">
        <v>64</v>
      </c>
      <c r="AM11" t="s">
        <v>46</v>
      </c>
      <c r="AN11" t="s">
        <v>60</v>
      </c>
      <c r="AO11" t="s">
        <v>62</v>
      </c>
      <c r="AP11" t="s">
        <v>90</v>
      </c>
      <c r="AQ11" t="s">
        <v>66</v>
      </c>
      <c r="AR11" t="s">
        <v>67</v>
      </c>
    </row>
    <row r="12" spans="1:44">
      <c r="A12" s="1">
        <v>45427</v>
      </c>
      <c r="B12" s="2">
        <v>0.22627314814814814</v>
      </c>
      <c r="C12" t="s">
        <v>44</v>
      </c>
      <c r="D12" t="s">
        <v>45</v>
      </c>
      <c r="E12">
        <v>0.75800000000000001</v>
      </c>
      <c r="F12" t="s">
        <v>46</v>
      </c>
      <c r="G12" t="s">
        <v>47</v>
      </c>
      <c r="H12" t="s">
        <v>45</v>
      </c>
      <c r="I12">
        <v>0.22270000000000001</v>
      </c>
      <c r="J12" t="s">
        <v>46</v>
      </c>
      <c r="K12" t="s">
        <v>48</v>
      </c>
      <c r="L12" t="s">
        <v>49</v>
      </c>
      <c r="M12" t="s">
        <v>50</v>
      </c>
      <c r="N12" t="s">
        <v>51</v>
      </c>
      <c r="O12">
        <v>3.45</v>
      </c>
      <c r="P12">
        <v>8.27</v>
      </c>
      <c r="Q12" t="s">
        <v>46</v>
      </c>
      <c r="R12" t="s">
        <v>52</v>
      </c>
      <c r="S12" t="s">
        <v>53</v>
      </c>
      <c r="T12" t="s">
        <v>46</v>
      </c>
      <c r="U12" t="s">
        <v>54</v>
      </c>
      <c r="V12" t="s">
        <v>55</v>
      </c>
      <c r="W12" t="s">
        <v>88</v>
      </c>
      <c r="X12" t="s">
        <v>89</v>
      </c>
      <c r="Y12">
        <v>1.98</v>
      </c>
      <c r="Z12" t="s">
        <v>46</v>
      </c>
      <c r="AA12" t="s">
        <v>58</v>
      </c>
      <c r="AB12" t="s">
        <v>59</v>
      </c>
      <c r="AC12">
        <v>286</v>
      </c>
      <c r="AD12" t="s">
        <v>46</v>
      </c>
      <c r="AE12" t="s">
        <v>60</v>
      </c>
      <c r="AF12" t="s">
        <v>45</v>
      </c>
      <c r="AG12" t="s">
        <v>46</v>
      </c>
      <c r="AH12" t="s">
        <v>61</v>
      </c>
      <c r="AI12" t="s">
        <v>48</v>
      </c>
      <c r="AJ12" t="s">
        <v>62</v>
      </c>
      <c r="AK12" t="s">
        <v>63</v>
      </c>
      <c r="AL12" t="s">
        <v>64</v>
      </c>
      <c r="AM12" t="s">
        <v>46</v>
      </c>
      <c r="AN12" t="s">
        <v>60</v>
      </c>
      <c r="AO12" t="s">
        <v>62</v>
      </c>
      <c r="AP12" t="s">
        <v>91</v>
      </c>
      <c r="AQ12" t="s">
        <v>66</v>
      </c>
      <c r="AR12" t="s">
        <v>67</v>
      </c>
    </row>
    <row r="13" spans="1:44">
      <c r="A13" s="1">
        <v>45427</v>
      </c>
      <c r="B13" s="2">
        <v>0.22633101851851853</v>
      </c>
      <c r="C13" t="s">
        <v>44</v>
      </c>
      <c r="D13" t="s">
        <v>45</v>
      </c>
      <c r="E13">
        <v>0.36399999999999999</v>
      </c>
      <c r="F13" t="s">
        <v>46</v>
      </c>
      <c r="G13" t="s">
        <v>47</v>
      </c>
      <c r="H13" t="s">
        <v>45</v>
      </c>
      <c r="I13">
        <v>0.22289999999999999</v>
      </c>
      <c r="J13" t="s">
        <v>46</v>
      </c>
      <c r="K13" t="s">
        <v>48</v>
      </c>
      <c r="L13" t="s">
        <v>49</v>
      </c>
      <c r="M13" t="s">
        <v>50</v>
      </c>
      <c r="N13" t="s">
        <v>51</v>
      </c>
      <c r="O13">
        <v>3.45</v>
      </c>
      <c r="P13">
        <v>8.27</v>
      </c>
      <c r="Q13" t="s">
        <v>46</v>
      </c>
      <c r="R13" t="s">
        <v>52</v>
      </c>
      <c r="S13" t="s">
        <v>53</v>
      </c>
      <c r="T13" t="s">
        <v>46</v>
      </c>
      <c r="U13" t="s">
        <v>54</v>
      </c>
      <c r="V13" t="s">
        <v>55</v>
      </c>
      <c r="W13" t="s">
        <v>92</v>
      </c>
      <c r="X13" t="s">
        <v>93</v>
      </c>
      <c r="Y13">
        <v>1.97</v>
      </c>
      <c r="Z13" t="s">
        <v>46</v>
      </c>
      <c r="AA13" t="s">
        <v>58</v>
      </c>
      <c r="AB13" t="s">
        <v>59</v>
      </c>
      <c r="AC13">
        <v>286</v>
      </c>
      <c r="AD13" t="s">
        <v>46</v>
      </c>
      <c r="AE13" t="s">
        <v>60</v>
      </c>
      <c r="AF13" t="s">
        <v>45</v>
      </c>
      <c r="AG13" t="s">
        <v>46</v>
      </c>
      <c r="AH13" t="s">
        <v>61</v>
      </c>
      <c r="AI13" t="s">
        <v>48</v>
      </c>
      <c r="AJ13" t="s">
        <v>62</v>
      </c>
      <c r="AK13" t="s">
        <v>63</v>
      </c>
      <c r="AL13" t="s">
        <v>64</v>
      </c>
      <c r="AM13" t="s">
        <v>46</v>
      </c>
      <c r="AN13" t="s">
        <v>60</v>
      </c>
      <c r="AO13" t="s">
        <v>62</v>
      </c>
      <c r="AP13" t="s">
        <v>94</v>
      </c>
      <c r="AQ13" t="s">
        <v>66</v>
      </c>
      <c r="AR13" t="s">
        <v>67</v>
      </c>
    </row>
    <row r="14" spans="1:44">
      <c r="A14" s="1">
        <v>45427</v>
      </c>
      <c r="B14" s="2">
        <v>0.22637731481481482</v>
      </c>
      <c r="C14" t="s">
        <v>44</v>
      </c>
      <c r="D14" t="s">
        <v>45</v>
      </c>
      <c r="E14">
        <v>0.71399999999999997</v>
      </c>
      <c r="F14" t="s">
        <v>46</v>
      </c>
      <c r="G14" t="s">
        <v>47</v>
      </c>
      <c r="H14" t="s">
        <v>45</v>
      </c>
      <c r="I14">
        <v>0.22320000000000001</v>
      </c>
      <c r="J14" t="s">
        <v>46</v>
      </c>
      <c r="K14" t="s">
        <v>48</v>
      </c>
      <c r="L14" t="s">
        <v>49</v>
      </c>
      <c r="M14" t="s">
        <v>50</v>
      </c>
      <c r="N14" t="s">
        <v>51</v>
      </c>
      <c r="O14">
        <v>3.45</v>
      </c>
      <c r="P14">
        <v>8.27</v>
      </c>
      <c r="Q14" t="s">
        <v>46</v>
      </c>
      <c r="R14" t="s">
        <v>52</v>
      </c>
      <c r="S14" t="s">
        <v>53</v>
      </c>
      <c r="T14" t="s">
        <v>46</v>
      </c>
      <c r="U14" t="s">
        <v>54</v>
      </c>
      <c r="V14" t="s">
        <v>55</v>
      </c>
      <c r="W14" t="s">
        <v>95</v>
      </c>
      <c r="X14" t="s">
        <v>96</v>
      </c>
      <c r="Y14">
        <v>1.97</v>
      </c>
      <c r="Z14" t="s">
        <v>46</v>
      </c>
      <c r="AA14" t="s">
        <v>58</v>
      </c>
      <c r="AB14" t="s">
        <v>59</v>
      </c>
      <c r="AC14">
        <v>286</v>
      </c>
      <c r="AD14" t="s">
        <v>46</v>
      </c>
      <c r="AE14" t="s">
        <v>60</v>
      </c>
      <c r="AF14" t="s">
        <v>45</v>
      </c>
      <c r="AG14" t="s">
        <v>46</v>
      </c>
      <c r="AH14" t="s">
        <v>61</v>
      </c>
      <c r="AI14" t="s">
        <v>48</v>
      </c>
      <c r="AJ14" t="s">
        <v>62</v>
      </c>
      <c r="AK14" t="s">
        <v>63</v>
      </c>
      <c r="AL14" t="s">
        <v>64</v>
      </c>
      <c r="AM14" t="s">
        <v>46</v>
      </c>
      <c r="AN14" t="s">
        <v>60</v>
      </c>
      <c r="AO14" t="s">
        <v>62</v>
      </c>
      <c r="AP14" t="s">
        <v>97</v>
      </c>
      <c r="AQ14" t="s">
        <v>66</v>
      </c>
      <c r="AR14" t="s">
        <v>67</v>
      </c>
    </row>
    <row r="15" spans="1:44">
      <c r="A15" s="1">
        <v>45427</v>
      </c>
      <c r="B15" s="2">
        <v>0.22642361111111112</v>
      </c>
      <c r="C15" t="s">
        <v>44</v>
      </c>
      <c r="D15" t="s">
        <v>45</v>
      </c>
      <c r="E15">
        <v>0.52900000000000003</v>
      </c>
      <c r="F15" t="s">
        <v>46</v>
      </c>
      <c r="G15" t="s">
        <v>47</v>
      </c>
      <c r="H15" t="s">
        <v>45</v>
      </c>
      <c r="I15">
        <v>0.22339999999999999</v>
      </c>
      <c r="J15" t="s">
        <v>46</v>
      </c>
      <c r="K15" t="s">
        <v>48</v>
      </c>
      <c r="L15" t="s">
        <v>49</v>
      </c>
      <c r="M15" t="s">
        <v>50</v>
      </c>
      <c r="N15" t="s">
        <v>51</v>
      </c>
      <c r="O15">
        <v>3.45</v>
      </c>
      <c r="P15">
        <v>8.27</v>
      </c>
      <c r="Q15" t="s">
        <v>46</v>
      </c>
      <c r="R15" t="s">
        <v>52</v>
      </c>
      <c r="S15" t="s">
        <v>53</v>
      </c>
      <c r="T15" t="s">
        <v>46</v>
      </c>
      <c r="U15" t="s">
        <v>54</v>
      </c>
      <c r="V15" t="s">
        <v>55</v>
      </c>
      <c r="W15" t="s">
        <v>98</v>
      </c>
      <c r="X15" t="s">
        <v>99</v>
      </c>
      <c r="Y15">
        <v>1.96</v>
      </c>
      <c r="Z15" t="s">
        <v>46</v>
      </c>
      <c r="AA15" t="s">
        <v>58</v>
      </c>
      <c r="AB15" t="s">
        <v>59</v>
      </c>
      <c r="AC15">
        <v>286</v>
      </c>
      <c r="AD15" t="s">
        <v>46</v>
      </c>
      <c r="AE15" t="s">
        <v>60</v>
      </c>
      <c r="AF15" t="s">
        <v>45</v>
      </c>
      <c r="AG15" t="s">
        <v>46</v>
      </c>
      <c r="AH15" t="s">
        <v>61</v>
      </c>
      <c r="AI15" t="s">
        <v>48</v>
      </c>
      <c r="AJ15" t="s">
        <v>62</v>
      </c>
      <c r="AK15" t="s">
        <v>63</v>
      </c>
      <c r="AL15" t="s">
        <v>64</v>
      </c>
      <c r="AM15" t="s">
        <v>46</v>
      </c>
      <c r="AN15" t="s">
        <v>60</v>
      </c>
      <c r="AO15" t="s">
        <v>62</v>
      </c>
      <c r="AP15" t="s">
        <v>100</v>
      </c>
      <c r="AQ15" t="s">
        <v>66</v>
      </c>
      <c r="AR15" t="s">
        <v>67</v>
      </c>
    </row>
    <row r="16" spans="1:44">
      <c r="A16" s="1">
        <v>45427</v>
      </c>
      <c r="B16" s="2">
        <v>0.22646990740740741</v>
      </c>
      <c r="C16" t="s">
        <v>44</v>
      </c>
      <c r="D16" t="s">
        <v>45</v>
      </c>
      <c r="E16">
        <v>0.219</v>
      </c>
      <c r="F16" t="s">
        <v>46</v>
      </c>
      <c r="G16" t="s">
        <v>47</v>
      </c>
      <c r="H16" t="s">
        <v>45</v>
      </c>
      <c r="I16">
        <v>0.22370000000000001</v>
      </c>
      <c r="J16" t="s">
        <v>46</v>
      </c>
      <c r="K16" t="s">
        <v>48</v>
      </c>
      <c r="L16" t="s">
        <v>49</v>
      </c>
      <c r="M16" t="s">
        <v>50</v>
      </c>
      <c r="N16" t="s">
        <v>51</v>
      </c>
      <c r="O16">
        <v>3.45</v>
      </c>
      <c r="P16">
        <v>8.27</v>
      </c>
      <c r="Q16" t="s">
        <v>46</v>
      </c>
      <c r="R16" t="s">
        <v>52</v>
      </c>
      <c r="S16" t="s">
        <v>53</v>
      </c>
      <c r="T16" t="s">
        <v>46</v>
      </c>
      <c r="U16" t="s">
        <v>54</v>
      </c>
      <c r="V16" t="s">
        <v>55</v>
      </c>
      <c r="W16" t="s">
        <v>68</v>
      </c>
      <c r="X16" t="s">
        <v>101</v>
      </c>
      <c r="Y16">
        <v>1.97</v>
      </c>
      <c r="Z16" t="s">
        <v>46</v>
      </c>
      <c r="AA16" t="s">
        <v>58</v>
      </c>
      <c r="AB16" t="s">
        <v>59</v>
      </c>
      <c r="AC16">
        <v>286</v>
      </c>
      <c r="AD16" t="s">
        <v>46</v>
      </c>
      <c r="AE16" t="s">
        <v>60</v>
      </c>
      <c r="AF16" t="s">
        <v>45</v>
      </c>
      <c r="AG16" t="s">
        <v>46</v>
      </c>
      <c r="AH16" t="s">
        <v>61</v>
      </c>
      <c r="AI16" t="s">
        <v>48</v>
      </c>
      <c r="AJ16" t="s">
        <v>62</v>
      </c>
      <c r="AK16" t="s">
        <v>63</v>
      </c>
      <c r="AL16" t="s">
        <v>64</v>
      </c>
      <c r="AM16" t="s">
        <v>46</v>
      </c>
      <c r="AN16" t="s">
        <v>60</v>
      </c>
      <c r="AO16" t="s">
        <v>62</v>
      </c>
      <c r="AP16" t="s">
        <v>102</v>
      </c>
      <c r="AQ16" t="s">
        <v>66</v>
      </c>
      <c r="AR16" t="s">
        <v>67</v>
      </c>
    </row>
    <row r="17" spans="1:44">
      <c r="A17" s="1">
        <v>45427</v>
      </c>
      <c r="B17" s="2">
        <v>0.22652777777777777</v>
      </c>
      <c r="C17" t="s">
        <v>44</v>
      </c>
      <c r="D17" t="s">
        <v>45</v>
      </c>
      <c r="E17">
        <v>0.38200000000000001</v>
      </c>
      <c r="F17" t="s">
        <v>46</v>
      </c>
      <c r="G17" t="s">
        <v>47</v>
      </c>
      <c r="H17" t="s">
        <v>45</v>
      </c>
      <c r="I17">
        <v>0.22370000000000001</v>
      </c>
      <c r="J17" t="s">
        <v>46</v>
      </c>
      <c r="K17" t="s">
        <v>48</v>
      </c>
      <c r="L17" t="s">
        <v>49</v>
      </c>
      <c r="M17" t="s">
        <v>50</v>
      </c>
      <c r="N17" t="s">
        <v>51</v>
      </c>
      <c r="O17">
        <v>3.45</v>
      </c>
      <c r="P17">
        <v>8.27</v>
      </c>
      <c r="Q17" t="s">
        <v>46</v>
      </c>
      <c r="R17" t="s">
        <v>52</v>
      </c>
      <c r="S17" t="s">
        <v>53</v>
      </c>
      <c r="T17" t="s">
        <v>46</v>
      </c>
      <c r="U17" t="s">
        <v>54</v>
      </c>
      <c r="V17" t="s">
        <v>55</v>
      </c>
      <c r="W17" t="s">
        <v>85</v>
      </c>
      <c r="X17" t="s">
        <v>103</v>
      </c>
      <c r="Y17">
        <v>1.96</v>
      </c>
      <c r="Z17" t="s">
        <v>46</v>
      </c>
      <c r="AA17" t="s">
        <v>58</v>
      </c>
      <c r="AB17" t="s">
        <v>59</v>
      </c>
      <c r="AC17">
        <v>286</v>
      </c>
      <c r="AD17" t="s">
        <v>46</v>
      </c>
      <c r="AE17" t="s">
        <v>60</v>
      </c>
      <c r="AF17" t="s">
        <v>45</v>
      </c>
      <c r="AG17" t="s">
        <v>46</v>
      </c>
      <c r="AH17" t="s">
        <v>61</v>
      </c>
      <c r="AI17" t="s">
        <v>48</v>
      </c>
      <c r="AJ17" t="s">
        <v>62</v>
      </c>
      <c r="AK17" t="s">
        <v>63</v>
      </c>
      <c r="AL17" t="s">
        <v>64</v>
      </c>
      <c r="AM17" t="s">
        <v>46</v>
      </c>
      <c r="AN17" t="s">
        <v>60</v>
      </c>
      <c r="AO17" t="s">
        <v>62</v>
      </c>
      <c r="AP17" t="s">
        <v>104</v>
      </c>
      <c r="AQ17" t="s">
        <v>66</v>
      </c>
      <c r="AR17" t="s">
        <v>67</v>
      </c>
    </row>
    <row r="18" spans="1:44">
      <c r="A18" s="1">
        <v>45427</v>
      </c>
      <c r="B18" s="2">
        <v>0.22657407407407407</v>
      </c>
      <c r="C18" t="s">
        <v>44</v>
      </c>
      <c r="D18" t="s">
        <v>45</v>
      </c>
      <c r="E18">
        <v>0.82399999999999995</v>
      </c>
      <c r="F18" t="s">
        <v>46</v>
      </c>
      <c r="G18" t="s">
        <v>47</v>
      </c>
      <c r="H18" t="s">
        <v>45</v>
      </c>
      <c r="I18">
        <v>0.22370000000000001</v>
      </c>
      <c r="J18" t="s">
        <v>46</v>
      </c>
      <c r="K18" t="s">
        <v>48</v>
      </c>
      <c r="L18" t="s">
        <v>49</v>
      </c>
      <c r="M18" t="s">
        <v>50</v>
      </c>
      <c r="N18" t="s">
        <v>51</v>
      </c>
      <c r="O18">
        <v>3.45</v>
      </c>
      <c r="P18">
        <v>8.27</v>
      </c>
      <c r="Q18" t="s">
        <v>46</v>
      </c>
      <c r="R18" t="s">
        <v>52</v>
      </c>
      <c r="S18" t="s">
        <v>53</v>
      </c>
      <c r="T18" t="s">
        <v>46</v>
      </c>
      <c r="U18" t="s">
        <v>54</v>
      </c>
      <c r="V18" t="s">
        <v>55</v>
      </c>
      <c r="W18" t="s">
        <v>85</v>
      </c>
      <c r="X18" t="s">
        <v>103</v>
      </c>
      <c r="Y18">
        <v>1.96</v>
      </c>
      <c r="Z18" t="s">
        <v>46</v>
      </c>
      <c r="AA18" t="s">
        <v>58</v>
      </c>
      <c r="AB18" t="s">
        <v>59</v>
      </c>
      <c r="AC18">
        <v>286</v>
      </c>
      <c r="AD18" t="s">
        <v>46</v>
      </c>
      <c r="AE18" t="s">
        <v>60</v>
      </c>
      <c r="AF18" t="s">
        <v>45</v>
      </c>
      <c r="AG18" t="s">
        <v>46</v>
      </c>
      <c r="AH18" t="s">
        <v>61</v>
      </c>
      <c r="AI18" t="s">
        <v>48</v>
      </c>
      <c r="AJ18" t="s">
        <v>62</v>
      </c>
      <c r="AK18" t="s">
        <v>63</v>
      </c>
      <c r="AL18" t="s">
        <v>64</v>
      </c>
      <c r="AM18" t="s">
        <v>46</v>
      </c>
      <c r="AN18" t="s">
        <v>60</v>
      </c>
      <c r="AO18" t="s">
        <v>62</v>
      </c>
      <c r="AP18" t="s">
        <v>105</v>
      </c>
      <c r="AQ18" t="s">
        <v>66</v>
      </c>
      <c r="AR18" t="s">
        <v>67</v>
      </c>
    </row>
    <row r="19" spans="1:44">
      <c r="A19" s="1">
        <v>45427</v>
      </c>
      <c r="B19" s="2">
        <v>0.22662037037037036</v>
      </c>
      <c r="C19" t="s">
        <v>44</v>
      </c>
      <c r="D19" t="s">
        <v>45</v>
      </c>
      <c r="E19">
        <v>0.314</v>
      </c>
      <c r="F19" t="s">
        <v>46</v>
      </c>
      <c r="G19" t="s">
        <v>47</v>
      </c>
      <c r="H19" t="s">
        <v>45</v>
      </c>
      <c r="I19">
        <v>0.22359999999999999</v>
      </c>
      <c r="J19" t="s">
        <v>46</v>
      </c>
      <c r="K19" t="s">
        <v>48</v>
      </c>
      <c r="L19" t="s">
        <v>49</v>
      </c>
      <c r="M19" t="s">
        <v>50</v>
      </c>
      <c r="N19" t="s">
        <v>51</v>
      </c>
      <c r="O19">
        <v>3.45</v>
      </c>
      <c r="P19">
        <v>8.27</v>
      </c>
      <c r="Q19" t="s">
        <v>46</v>
      </c>
      <c r="R19" t="s">
        <v>52</v>
      </c>
      <c r="S19" t="s">
        <v>53</v>
      </c>
      <c r="T19" t="s">
        <v>46</v>
      </c>
      <c r="U19" t="s">
        <v>54</v>
      </c>
      <c r="V19" t="s">
        <v>55</v>
      </c>
      <c r="W19" t="s">
        <v>106</v>
      </c>
      <c r="X19" t="s">
        <v>107</v>
      </c>
      <c r="Y19">
        <v>1.95</v>
      </c>
      <c r="Z19" t="s">
        <v>46</v>
      </c>
      <c r="AA19" t="s">
        <v>58</v>
      </c>
      <c r="AB19" t="s">
        <v>59</v>
      </c>
      <c r="AC19">
        <v>286</v>
      </c>
      <c r="AD19" t="s">
        <v>46</v>
      </c>
      <c r="AE19" t="s">
        <v>60</v>
      </c>
      <c r="AF19" t="s">
        <v>45</v>
      </c>
      <c r="AG19" t="s">
        <v>46</v>
      </c>
      <c r="AH19" t="s">
        <v>61</v>
      </c>
      <c r="AI19" t="s">
        <v>48</v>
      </c>
      <c r="AJ19" t="s">
        <v>62</v>
      </c>
      <c r="AK19" t="s">
        <v>63</v>
      </c>
      <c r="AL19" t="s">
        <v>64</v>
      </c>
      <c r="AM19" t="s">
        <v>46</v>
      </c>
      <c r="AN19" t="s">
        <v>60</v>
      </c>
      <c r="AO19" t="s">
        <v>62</v>
      </c>
      <c r="AP19" t="s">
        <v>108</v>
      </c>
      <c r="AQ19" t="s">
        <v>66</v>
      </c>
      <c r="AR19" t="s">
        <v>67</v>
      </c>
    </row>
    <row r="20" spans="1:44">
      <c r="A20" s="1">
        <v>45427</v>
      </c>
      <c r="B20" s="2">
        <v>0.22666666666666666</v>
      </c>
      <c r="C20" t="s">
        <v>44</v>
      </c>
      <c r="D20" t="s">
        <v>45</v>
      </c>
      <c r="E20">
        <v>0.45500000000000002</v>
      </c>
      <c r="F20" t="s">
        <v>46</v>
      </c>
      <c r="G20" t="s">
        <v>47</v>
      </c>
      <c r="H20" t="s">
        <v>45</v>
      </c>
      <c r="I20">
        <v>0.22389999999999999</v>
      </c>
      <c r="J20" t="s">
        <v>46</v>
      </c>
      <c r="K20" t="s">
        <v>48</v>
      </c>
      <c r="L20" t="s">
        <v>49</v>
      </c>
      <c r="M20" t="s">
        <v>50</v>
      </c>
      <c r="N20" t="s">
        <v>51</v>
      </c>
      <c r="O20">
        <v>3.45</v>
      </c>
      <c r="P20">
        <v>8.27</v>
      </c>
      <c r="Q20" t="s">
        <v>46</v>
      </c>
      <c r="R20" t="s">
        <v>52</v>
      </c>
      <c r="S20" t="s">
        <v>53</v>
      </c>
      <c r="T20" t="s">
        <v>46</v>
      </c>
      <c r="U20" t="s">
        <v>54</v>
      </c>
      <c r="V20" t="s">
        <v>55</v>
      </c>
      <c r="W20" t="s">
        <v>109</v>
      </c>
      <c r="X20" t="s">
        <v>110</v>
      </c>
      <c r="Y20">
        <v>1.94</v>
      </c>
      <c r="Z20" t="s">
        <v>46</v>
      </c>
      <c r="AA20" t="s">
        <v>58</v>
      </c>
      <c r="AB20" t="s">
        <v>59</v>
      </c>
      <c r="AC20">
        <v>286</v>
      </c>
      <c r="AD20" t="s">
        <v>46</v>
      </c>
      <c r="AE20" t="s">
        <v>60</v>
      </c>
      <c r="AF20" t="s">
        <v>45</v>
      </c>
      <c r="AG20" t="s">
        <v>46</v>
      </c>
      <c r="AH20" t="s">
        <v>61</v>
      </c>
      <c r="AI20" t="s">
        <v>48</v>
      </c>
      <c r="AJ20" t="s">
        <v>62</v>
      </c>
      <c r="AK20" t="s">
        <v>63</v>
      </c>
      <c r="AL20" t="s">
        <v>64</v>
      </c>
      <c r="AM20" t="s">
        <v>46</v>
      </c>
      <c r="AN20" t="s">
        <v>60</v>
      </c>
      <c r="AO20" t="s">
        <v>62</v>
      </c>
      <c r="AP20" t="s">
        <v>111</v>
      </c>
      <c r="AQ20" t="s">
        <v>66</v>
      </c>
      <c r="AR20" t="s">
        <v>67</v>
      </c>
    </row>
    <row r="21" spans="1:44">
      <c r="A21" s="1">
        <v>45427</v>
      </c>
      <c r="B21" s="2">
        <v>0.22672453703703704</v>
      </c>
      <c r="C21" t="s">
        <v>44</v>
      </c>
      <c r="D21" t="s">
        <v>45</v>
      </c>
      <c r="E21">
        <v>0.41699999999999998</v>
      </c>
      <c r="F21" t="s">
        <v>46</v>
      </c>
      <c r="G21" t="s">
        <v>47</v>
      </c>
      <c r="H21" t="s">
        <v>45</v>
      </c>
      <c r="I21">
        <v>0.22439999999999999</v>
      </c>
      <c r="J21" t="s">
        <v>46</v>
      </c>
      <c r="K21" t="s">
        <v>48</v>
      </c>
      <c r="L21" t="s">
        <v>49</v>
      </c>
      <c r="M21" t="s">
        <v>50</v>
      </c>
      <c r="N21" t="s">
        <v>51</v>
      </c>
      <c r="O21">
        <v>3.45</v>
      </c>
      <c r="P21">
        <v>8.27</v>
      </c>
      <c r="Q21" t="s">
        <v>46</v>
      </c>
      <c r="R21" t="s">
        <v>52</v>
      </c>
      <c r="S21" t="s">
        <v>53</v>
      </c>
      <c r="T21" t="s">
        <v>46</v>
      </c>
      <c r="U21" t="s">
        <v>54</v>
      </c>
      <c r="V21" t="s">
        <v>55</v>
      </c>
      <c r="W21" t="s">
        <v>112</v>
      </c>
      <c r="X21" t="s">
        <v>107</v>
      </c>
      <c r="Y21">
        <v>1.95</v>
      </c>
      <c r="Z21" t="s">
        <v>46</v>
      </c>
      <c r="AA21" t="s">
        <v>58</v>
      </c>
      <c r="AB21" t="s">
        <v>59</v>
      </c>
      <c r="AC21">
        <v>284</v>
      </c>
      <c r="AD21" t="s">
        <v>46</v>
      </c>
      <c r="AE21" t="s">
        <v>60</v>
      </c>
      <c r="AF21" t="s">
        <v>45</v>
      </c>
      <c r="AG21" t="s">
        <v>46</v>
      </c>
      <c r="AH21" t="s">
        <v>61</v>
      </c>
      <c r="AI21" t="s">
        <v>48</v>
      </c>
      <c r="AJ21" t="s">
        <v>62</v>
      </c>
      <c r="AK21" t="s">
        <v>63</v>
      </c>
      <c r="AL21" t="s">
        <v>64</v>
      </c>
      <c r="AM21" t="s">
        <v>46</v>
      </c>
      <c r="AN21" t="s">
        <v>60</v>
      </c>
      <c r="AO21" t="s">
        <v>62</v>
      </c>
      <c r="AP21" t="s">
        <v>113</v>
      </c>
      <c r="AQ21" t="s">
        <v>66</v>
      </c>
      <c r="AR21" t="s">
        <v>67</v>
      </c>
    </row>
    <row r="22" spans="1:44">
      <c r="A22" s="1">
        <v>45427</v>
      </c>
      <c r="B22" s="2">
        <v>0.22677083333333334</v>
      </c>
      <c r="C22" t="s">
        <v>44</v>
      </c>
      <c r="D22" t="s">
        <v>45</v>
      </c>
      <c r="E22">
        <v>0.34399999999999997</v>
      </c>
      <c r="F22" t="s">
        <v>46</v>
      </c>
      <c r="G22" t="s">
        <v>47</v>
      </c>
      <c r="H22" t="s">
        <v>45</v>
      </c>
      <c r="I22">
        <v>0.2258</v>
      </c>
      <c r="J22" t="s">
        <v>46</v>
      </c>
      <c r="K22" t="s">
        <v>48</v>
      </c>
      <c r="L22" t="s">
        <v>49</v>
      </c>
      <c r="M22" t="s">
        <v>50</v>
      </c>
      <c r="N22" t="s">
        <v>51</v>
      </c>
      <c r="O22">
        <v>3.45</v>
      </c>
      <c r="P22">
        <v>8.27</v>
      </c>
      <c r="Q22" t="s">
        <v>46</v>
      </c>
      <c r="R22" t="s">
        <v>52</v>
      </c>
      <c r="S22" t="s">
        <v>53</v>
      </c>
      <c r="T22" t="s">
        <v>46</v>
      </c>
      <c r="U22" t="s">
        <v>54</v>
      </c>
      <c r="V22" t="s">
        <v>55</v>
      </c>
      <c r="W22" t="s">
        <v>114</v>
      </c>
      <c r="X22" t="s">
        <v>110</v>
      </c>
      <c r="Y22">
        <v>1.94</v>
      </c>
      <c r="Z22" t="s">
        <v>46</v>
      </c>
      <c r="AA22" t="s">
        <v>58</v>
      </c>
      <c r="AB22" t="s">
        <v>59</v>
      </c>
      <c r="AC22">
        <v>284</v>
      </c>
      <c r="AD22" t="s">
        <v>46</v>
      </c>
      <c r="AE22" t="s">
        <v>60</v>
      </c>
      <c r="AF22" t="s">
        <v>45</v>
      </c>
      <c r="AG22" t="s">
        <v>46</v>
      </c>
      <c r="AH22" t="s">
        <v>61</v>
      </c>
      <c r="AI22" t="s">
        <v>48</v>
      </c>
      <c r="AJ22" t="s">
        <v>62</v>
      </c>
      <c r="AK22" t="s">
        <v>63</v>
      </c>
      <c r="AL22" t="s">
        <v>64</v>
      </c>
      <c r="AM22" t="s">
        <v>46</v>
      </c>
      <c r="AN22" t="s">
        <v>60</v>
      </c>
      <c r="AO22" t="s">
        <v>62</v>
      </c>
      <c r="AP22" t="s">
        <v>115</v>
      </c>
      <c r="AQ22" t="s">
        <v>66</v>
      </c>
      <c r="AR22" t="s">
        <v>67</v>
      </c>
    </row>
    <row r="23" spans="1:44">
      <c r="A23" s="1">
        <v>45427</v>
      </c>
      <c r="B23" s="2">
        <v>0.22681712962962963</v>
      </c>
      <c r="C23" t="s">
        <v>44</v>
      </c>
      <c r="D23" t="s">
        <v>45</v>
      </c>
      <c r="E23">
        <v>1</v>
      </c>
      <c r="F23" t="s">
        <v>46</v>
      </c>
      <c r="G23" t="s">
        <v>47</v>
      </c>
      <c r="H23" t="s">
        <v>45</v>
      </c>
      <c r="I23">
        <v>0.2281</v>
      </c>
      <c r="J23" t="s">
        <v>46</v>
      </c>
      <c r="K23" t="s">
        <v>48</v>
      </c>
      <c r="L23" t="s">
        <v>49</v>
      </c>
      <c r="M23" t="s">
        <v>50</v>
      </c>
      <c r="N23" t="s">
        <v>51</v>
      </c>
      <c r="O23">
        <v>3.45</v>
      </c>
      <c r="P23">
        <v>8.27</v>
      </c>
      <c r="Q23" t="s">
        <v>46</v>
      </c>
      <c r="R23" t="s">
        <v>52</v>
      </c>
      <c r="S23" t="s">
        <v>53</v>
      </c>
      <c r="T23" t="s">
        <v>46</v>
      </c>
      <c r="U23" t="s">
        <v>54</v>
      </c>
      <c r="V23" t="s">
        <v>55</v>
      </c>
      <c r="W23" t="s">
        <v>116</v>
      </c>
      <c r="X23" t="s">
        <v>117</v>
      </c>
      <c r="Y23">
        <v>1.94</v>
      </c>
      <c r="Z23" t="s">
        <v>46</v>
      </c>
      <c r="AA23" t="s">
        <v>58</v>
      </c>
      <c r="AB23" t="s">
        <v>59</v>
      </c>
      <c r="AC23">
        <v>285</v>
      </c>
      <c r="AD23" t="s">
        <v>46</v>
      </c>
      <c r="AE23" t="s">
        <v>60</v>
      </c>
      <c r="AF23" t="s">
        <v>45</v>
      </c>
      <c r="AG23" t="s">
        <v>46</v>
      </c>
      <c r="AH23" t="s">
        <v>61</v>
      </c>
      <c r="AI23" t="s">
        <v>48</v>
      </c>
      <c r="AJ23" t="s">
        <v>62</v>
      </c>
      <c r="AK23" t="s">
        <v>63</v>
      </c>
      <c r="AL23" t="s">
        <v>64</v>
      </c>
      <c r="AM23" t="s">
        <v>46</v>
      </c>
      <c r="AN23" t="s">
        <v>60</v>
      </c>
      <c r="AO23" t="s">
        <v>62</v>
      </c>
      <c r="AP23" t="s">
        <v>118</v>
      </c>
      <c r="AQ23" t="s">
        <v>66</v>
      </c>
      <c r="AR23" t="s">
        <v>67</v>
      </c>
    </row>
    <row r="24" spans="1:44">
      <c r="A24" s="1">
        <v>45427</v>
      </c>
      <c r="B24" s="2">
        <v>0.22686342592592593</v>
      </c>
      <c r="C24" t="s">
        <v>44</v>
      </c>
      <c r="D24" t="s">
        <v>45</v>
      </c>
      <c r="E24">
        <v>0.42399999999999999</v>
      </c>
      <c r="F24" t="s">
        <v>46</v>
      </c>
      <c r="G24" t="s">
        <v>47</v>
      </c>
      <c r="H24" t="s">
        <v>45</v>
      </c>
      <c r="I24">
        <v>0.23039999999999999</v>
      </c>
      <c r="J24" t="s">
        <v>46</v>
      </c>
      <c r="K24" t="s">
        <v>48</v>
      </c>
      <c r="L24" t="s">
        <v>49</v>
      </c>
      <c r="M24" t="s">
        <v>50</v>
      </c>
      <c r="N24" t="s">
        <v>51</v>
      </c>
      <c r="O24">
        <v>3.45</v>
      </c>
      <c r="P24">
        <v>8.27</v>
      </c>
      <c r="Q24" t="s">
        <v>46</v>
      </c>
      <c r="R24" t="s">
        <v>52</v>
      </c>
      <c r="S24" t="s">
        <v>53</v>
      </c>
      <c r="T24" t="s">
        <v>46</v>
      </c>
      <c r="U24" t="s">
        <v>54</v>
      </c>
      <c r="V24" t="s">
        <v>55</v>
      </c>
      <c r="W24" t="s">
        <v>119</v>
      </c>
      <c r="X24" t="s">
        <v>120</v>
      </c>
      <c r="Y24">
        <v>1.93</v>
      </c>
      <c r="Z24" t="s">
        <v>46</v>
      </c>
      <c r="AA24" t="s">
        <v>58</v>
      </c>
      <c r="AB24" t="s">
        <v>59</v>
      </c>
      <c r="AC24">
        <v>282</v>
      </c>
      <c r="AD24" t="s">
        <v>46</v>
      </c>
      <c r="AE24" t="s">
        <v>60</v>
      </c>
      <c r="AF24" t="s">
        <v>45</v>
      </c>
      <c r="AG24" t="s">
        <v>46</v>
      </c>
      <c r="AH24" t="s">
        <v>61</v>
      </c>
      <c r="AI24" t="s">
        <v>48</v>
      </c>
      <c r="AJ24" t="s">
        <v>62</v>
      </c>
      <c r="AK24" t="s">
        <v>63</v>
      </c>
      <c r="AL24" t="s">
        <v>64</v>
      </c>
      <c r="AM24" t="s">
        <v>46</v>
      </c>
      <c r="AN24" t="s">
        <v>60</v>
      </c>
      <c r="AO24" t="s">
        <v>62</v>
      </c>
      <c r="AP24" t="s">
        <v>121</v>
      </c>
      <c r="AQ24" t="s">
        <v>66</v>
      </c>
      <c r="AR24" t="s">
        <v>67</v>
      </c>
    </row>
    <row r="25" spans="1:44">
      <c r="A25" s="1">
        <v>45427</v>
      </c>
      <c r="B25" s="2">
        <v>0.22692129629629629</v>
      </c>
      <c r="C25" t="s">
        <v>44</v>
      </c>
      <c r="D25" t="s">
        <v>45</v>
      </c>
      <c r="E25">
        <v>0.21199999999999999</v>
      </c>
      <c r="F25" t="s">
        <v>46</v>
      </c>
      <c r="G25" t="s">
        <v>47</v>
      </c>
      <c r="H25" t="s">
        <v>45</v>
      </c>
      <c r="I25">
        <v>0.23230000000000001</v>
      </c>
      <c r="J25" t="s">
        <v>46</v>
      </c>
      <c r="K25" t="s">
        <v>48</v>
      </c>
      <c r="L25" t="s">
        <v>49</v>
      </c>
      <c r="M25" t="s">
        <v>50</v>
      </c>
      <c r="N25" t="s">
        <v>51</v>
      </c>
      <c r="O25">
        <v>3.45</v>
      </c>
      <c r="P25">
        <v>8.27</v>
      </c>
      <c r="Q25" t="s">
        <v>46</v>
      </c>
      <c r="R25" t="s">
        <v>52</v>
      </c>
      <c r="S25" t="s">
        <v>53</v>
      </c>
      <c r="T25" t="s">
        <v>46</v>
      </c>
      <c r="U25" t="s">
        <v>54</v>
      </c>
      <c r="V25" t="s">
        <v>55</v>
      </c>
      <c r="W25" t="s">
        <v>119</v>
      </c>
      <c r="X25" t="s">
        <v>120</v>
      </c>
      <c r="Y25">
        <v>1.93</v>
      </c>
      <c r="Z25" t="s">
        <v>46</v>
      </c>
      <c r="AA25" t="s">
        <v>58</v>
      </c>
      <c r="AB25" t="s">
        <v>59</v>
      </c>
      <c r="AC25">
        <v>282</v>
      </c>
      <c r="AD25" t="s">
        <v>46</v>
      </c>
      <c r="AE25" t="s">
        <v>60</v>
      </c>
      <c r="AF25" t="s">
        <v>45</v>
      </c>
      <c r="AG25" t="s">
        <v>46</v>
      </c>
      <c r="AH25" t="s">
        <v>61</v>
      </c>
      <c r="AI25" t="s">
        <v>48</v>
      </c>
      <c r="AJ25" t="s">
        <v>62</v>
      </c>
      <c r="AK25" t="s">
        <v>63</v>
      </c>
      <c r="AL25" t="s">
        <v>64</v>
      </c>
      <c r="AM25" t="s">
        <v>46</v>
      </c>
      <c r="AN25" t="s">
        <v>60</v>
      </c>
      <c r="AO25" t="s">
        <v>62</v>
      </c>
      <c r="AP25" t="s">
        <v>122</v>
      </c>
      <c r="AQ25" t="s">
        <v>66</v>
      </c>
      <c r="AR25" t="s">
        <v>67</v>
      </c>
    </row>
    <row r="26" spans="1:44">
      <c r="A26" s="1">
        <v>45427</v>
      </c>
      <c r="B26" s="2">
        <v>0.22696759259259258</v>
      </c>
      <c r="C26" t="s">
        <v>44</v>
      </c>
      <c r="D26" t="s">
        <v>45</v>
      </c>
      <c r="E26">
        <v>0.182</v>
      </c>
      <c r="F26" t="s">
        <v>46</v>
      </c>
      <c r="G26" t="s">
        <v>47</v>
      </c>
      <c r="H26" t="s">
        <v>45</v>
      </c>
      <c r="I26">
        <v>0.23499999999999999</v>
      </c>
      <c r="J26" t="s">
        <v>46</v>
      </c>
      <c r="K26" t="s">
        <v>48</v>
      </c>
      <c r="L26" t="s">
        <v>49</v>
      </c>
      <c r="M26" t="s">
        <v>50</v>
      </c>
      <c r="N26" t="s">
        <v>51</v>
      </c>
      <c r="O26">
        <v>3.45</v>
      </c>
      <c r="P26">
        <v>8.27</v>
      </c>
      <c r="Q26" t="s">
        <v>46</v>
      </c>
      <c r="R26" t="s">
        <v>52</v>
      </c>
      <c r="S26" t="s">
        <v>53</v>
      </c>
      <c r="T26" t="s">
        <v>46</v>
      </c>
      <c r="U26" t="s">
        <v>54</v>
      </c>
      <c r="V26" t="s">
        <v>55</v>
      </c>
      <c r="W26" t="s">
        <v>123</v>
      </c>
      <c r="X26" t="s">
        <v>124</v>
      </c>
      <c r="Y26">
        <v>1.91</v>
      </c>
      <c r="Z26" t="s">
        <v>46</v>
      </c>
      <c r="AA26" t="s">
        <v>58</v>
      </c>
      <c r="AB26" t="s">
        <v>59</v>
      </c>
      <c r="AC26">
        <v>282</v>
      </c>
      <c r="AD26" t="s">
        <v>46</v>
      </c>
      <c r="AE26" t="s">
        <v>60</v>
      </c>
      <c r="AF26" t="s">
        <v>45</v>
      </c>
      <c r="AG26" t="s">
        <v>46</v>
      </c>
      <c r="AH26" t="s">
        <v>61</v>
      </c>
      <c r="AI26" t="s">
        <v>48</v>
      </c>
      <c r="AJ26" t="s">
        <v>62</v>
      </c>
      <c r="AK26" t="s">
        <v>63</v>
      </c>
      <c r="AL26" t="s">
        <v>64</v>
      </c>
      <c r="AM26" t="s">
        <v>46</v>
      </c>
      <c r="AN26" t="s">
        <v>60</v>
      </c>
      <c r="AO26" t="s">
        <v>62</v>
      </c>
      <c r="AP26" t="s">
        <v>125</v>
      </c>
      <c r="AQ26" t="s">
        <v>66</v>
      </c>
      <c r="AR26" t="s">
        <v>67</v>
      </c>
    </row>
    <row r="27" spans="1:44">
      <c r="A27" s="1">
        <v>45427</v>
      </c>
      <c r="B27" s="2">
        <v>0.22701388888888888</v>
      </c>
      <c r="C27" t="s">
        <v>44</v>
      </c>
      <c r="D27" t="s">
        <v>45</v>
      </c>
      <c r="E27">
        <v>0.69699999999999995</v>
      </c>
      <c r="F27" t="s">
        <v>46</v>
      </c>
      <c r="G27" t="s">
        <v>47</v>
      </c>
      <c r="H27" t="s">
        <v>45</v>
      </c>
      <c r="I27">
        <v>0.23730000000000001</v>
      </c>
      <c r="J27" t="s">
        <v>46</v>
      </c>
      <c r="K27" t="s">
        <v>48</v>
      </c>
      <c r="L27" t="s">
        <v>49</v>
      </c>
      <c r="M27" t="s">
        <v>50</v>
      </c>
      <c r="N27" t="s">
        <v>51</v>
      </c>
      <c r="O27">
        <v>3.45</v>
      </c>
      <c r="P27">
        <v>8.27</v>
      </c>
      <c r="Q27" t="s">
        <v>46</v>
      </c>
      <c r="R27" t="s">
        <v>52</v>
      </c>
      <c r="S27" t="s">
        <v>53</v>
      </c>
      <c r="T27" t="s">
        <v>46</v>
      </c>
      <c r="U27" t="s">
        <v>54</v>
      </c>
      <c r="V27" t="s">
        <v>55</v>
      </c>
      <c r="W27" t="s">
        <v>126</v>
      </c>
      <c r="X27" t="s">
        <v>127</v>
      </c>
      <c r="Y27">
        <v>1.9</v>
      </c>
      <c r="Z27" t="s">
        <v>46</v>
      </c>
      <c r="AA27" t="s">
        <v>58</v>
      </c>
      <c r="AB27" t="s">
        <v>59</v>
      </c>
      <c r="AC27">
        <v>282</v>
      </c>
      <c r="AD27" t="s">
        <v>46</v>
      </c>
      <c r="AE27" t="s">
        <v>60</v>
      </c>
      <c r="AF27" t="s">
        <v>45</v>
      </c>
      <c r="AG27" t="s">
        <v>46</v>
      </c>
      <c r="AH27" t="s">
        <v>61</v>
      </c>
      <c r="AI27" t="s">
        <v>48</v>
      </c>
      <c r="AJ27" t="s">
        <v>62</v>
      </c>
      <c r="AK27" t="s">
        <v>63</v>
      </c>
      <c r="AL27" t="s">
        <v>64</v>
      </c>
      <c r="AM27" t="s">
        <v>46</v>
      </c>
      <c r="AN27" t="s">
        <v>60</v>
      </c>
      <c r="AO27" t="s">
        <v>62</v>
      </c>
      <c r="AP27" t="s">
        <v>128</v>
      </c>
      <c r="AQ27" t="s">
        <v>66</v>
      </c>
      <c r="AR27" t="s">
        <v>67</v>
      </c>
    </row>
    <row r="28" spans="1:44">
      <c r="A28" s="1">
        <v>45427</v>
      </c>
      <c r="B28" s="2">
        <v>0.2270601851851852</v>
      </c>
      <c r="C28" t="s">
        <v>44</v>
      </c>
      <c r="D28" t="s">
        <v>45</v>
      </c>
      <c r="E28">
        <v>0.54300000000000004</v>
      </c>
      <c r="F28" t="s">
        <v>46</v>
      </c>
      <c r="G28" t="s">
        <v>47</v>
      </c>
      <c r="H28" t="s">
        <v>45</v>
      </c>
      <c r="I28">
        <v>0.2379</v>
      </c>
      <c r="J28" t="s">
        <v>46</v>
      </c>
      <c r="K28" t="s">
        <v>48</v>
      </c>
      <c r="L28" t="s">
        <v>49</v>
      </c>
      <c r="M28" t="s">
        <v>50</v>
      </c>
      <c r="N28" t="s">
        <v>51</v>
      </c>
      <c r="O28">
        <v>3.45</v>
      </c>
      <c r="P28">
        <v>8.27</v>
      </c>
      <c r="Q28" t="s">
        <v>46</v>
      </c>
      <c r="R28" t="s">
        <v>52</v>
      </c>
      <c r="S28" t="s">
        <v>53</v>
      </c>
      <c r="T28" t="s">
        <v>46</v>
      </c>
      <c r="U28" t="s">
        <v>54</v>
      </c>
      <c r="V28" t="s">
        <v>55</v>
      </c>
      <c r="W28" t="s">
        <v>129</v>
      </c>
      <c r="X28" t="s">
        <v>130</v>
      </c>
      <c r="Y28">
        <v>1.9</v>
      </c>
      <c r="Z28" t="s">
        <v>46</v>
      </c>
      <c r="AA28" t="s">
        <v>58</v>
      </c>
      <c r="AB28" t="s">
        <v>59</v>
      </c>
      <c r="AC28">
        <v>282</v>
      </c>
      <c r="AD28" t="s">
        <v>46</v>
      </c>
      <c r="AE28" t="s">
        <v>60</v>
      </c>
      <c r="AF28" t="s">
        <v>45</v>
      </c>
      <c r="AG28" t="s">
        <v>46</v>
      </c>
      <c r="AH28" t="s">
        <v>61</v>
      </c>
      <c r="AI28" t="s">
        <v>48</v>
      </c>
      <c r="AJ28" t="s">
        <v>62</v>
      </c>
      <c r="AK28" t="s">
        <v>63</v>
      </c>
      <c r="AL28" t="s">
        <v>64</v>
      </c>
      <c r="AM28" t="s">
        <v>46</v>
      </c>
      <c r="AN28" t="s">
        <v>60</v>
      </c>
      <c r="AO28" t="s">
        <v>62</v>
      </c>
      <c r="AP28" t="s">
        <v>131</v>
      </c>
      <c r="AQ28" t="s">
        <v>66</v>
      </c>
      <c r="AR28" t="s">
        <v>67</v>
      </c>
    </row>
    <row r="29" spans="1:44">
      <c r="A29" s="1">
        <v>45427</v>
      </c>
      <c r="B29" s="2">
        <v>0.22711805555555556</v>
      </c>
      <c r="C29" t="s">
        <v>44</v>
      </c>
      <c r="D29" t="s">
        <v>45</v>
      </c>
      <c r="E29">
        <v>0.64700000000000002</v>
      </c>
      <c r="F29" t="s">
        <v>46</v>
      </c>
      <c r="G29" t="s">
        <v>47</v>
      </c>
      <c r="H29" t="s">
        <v>45</v>
      </c>
      <c r="I29">
        <v>0.23880000000000001</v>
      </c>
      <c r="J29" t="s">
        <v>46</v>
      </c>
      <c r="K29" t="s">
        <v>48</v>
      </c>
      <c r="L29" t="s">
        <v>49</v>
      </c>
      <c r="M29" t="s">
        <v>50</v>
      </c>
      <c r="N29" t="s">
        <v>51</v>
      </c>
      <c r="O29">
        <v>3.45</v>
      </c>
      <c r="P29">
        <v>8.27</v>
      </c>
      <c r="Q29" t="s">
        <v>46</v>
      </c>
      <c r="R29" t="s">
        <v>52</v>
      </c>
      <c r="S29" t="s">
        <v>53</v>
      </c>
      <c r="T29" t="s">
        <v>46</v>
      </c>
      <c r="U29" t="s">
        <v>54</v>
      </c>
      <c r="V29" t="s">
        <v>55</v>
      </c>
      <c r="W29" t="s">
        <v>132</v>
      </c>
      <c r="X29" t="s">
        <v>133</v>
      </c>
      <c r="Y29">
        <v>1.93</v>
      </c>
      <c r="Z29" t="s">
        <v>46</v>
      </c>
      <c r="AA29" t="s">
        <v>58</v>
      </c>
      <c r="AB29" t="s">
        <v>59</v>
      </c>
      <c r="AC29">
        <v>282</v>
      </c>
      <c r="AD29" t="s">
        <v>46</v>
      </c>
      <c r="AE29" t="s">
        <v>60</v>
      </c>
      <c r="AF29" t="s">
        <v>45</v>
      </c>
      <c r="AG29" t="s">
        <v>46</v>
      </c>
      <c r="AH29" t="s">
        <v>61</v>
      </c>
      <c r="AI29" t="s">
        <v>48</v>
      </c>
      <c r="AJ29" t="s">
        <v>62</v>
      </c>
      <c r="AK29" t="s">
        <v>63</v>
      </c>
      <c r="AL29" t="s">
        <v>64</v>
      </c>
      <c r="AM29" t="s">
        <v>46</v>
      </c>
      <c r="AN29" t="s">
        <v>60</v>
      </c>
      <c r="AO29" t="s">
        <v>62</v>
      </c>
      <c r="AP29" t="s">
        <v>134</v>
      </c>
      <c r="AQ29" t="s">
        <v>66</v>
      </c>
      <c r="AR29" t="s">
        <v>67</v>
      </c>
    </row>
    <row r="30" spans="1:44">
      <c r="A30" s="1">
        <v>45427</v>
      </c>
      <c r="B30" s="2">
        <v>0.22716435185185185</v>
      </c>
      <c r="C30" t="s">
        <v>44</v>
      </c>
      <c r="D30" t="s">
        <v>45</v>
      </c>
      <c r="E30">
        <v>0.73499999999999999</v>
      </c>
      <c r="F30" t="s">
        <v>46</v>
      </c>
      <c r="G30" t="s">
        <v>47</v>
      </c>
      <c r="H30" t="s">
        <v>45</v>
      </c>
      <c r="I30">
        <v>0.2397</v>
      </c>
      <c r="J30" t="s">
        <v>46</v>
      </c>
      <c r="K30" t="s">
        <v>48</v>
      </c>
      <c r="L30" t="s">
        <v>49</v>
      </c>
      <c r="M30" t="s">
        <v>50</v>
      </c>
      <c r="N30" t="s">
        <v>51</v>
      </c>
      <c r="O30">
        <v>3.45</v>
      </c>
      <c r="P30">
        <v>8.27</v>
      </c>
      <c r="Q30" t="s">
        <v>46</v>
      </c>
      <c r="R30" t="s">
        <v>52</v>
      </c>
      <c r="S30" t="s">
        <v>53</v>
      </c>
      <c r="T30" t="s">
        <v>46</v>
      </c>
      <c r="U30" t="s">
        <v>54</v>
      </c>
      <c r="V30" t="s">
        <v>55</v>
      </c>
      <c r="W30" t="s">
        <v>74</v>
      </c>
      <c r="X30" t="s">
        <v>120</v>
      </c>
      <c r="Y30">
        <v>1.93</v>
      </c>
      <c r="Z30" t="s">
        <v>46</v>
      </c>
      <c r="AA30" t="s">
        <v>58</v>
      </c>
      <c r="AB30" t="s">
        <v>59</v>
      </c>
      <c r="AC30">
        <v>282</v>
      </c>
      <c r="AD30" t="s">
        <v>46</v>
      </c>
      <c r="AE30" t="s">
        <v>60</v>
      </c>
      <c r="AF30" t="s">
        <v>45</v>
      </c>
      <c r="AG30" t="s">
        <v>46</v>
      </c>
      <c r="AH30" t="s">
        <v>61</v>
      </c>
      <c r="AI30" t="s">
        <v>48</v>
      </c>
      <c r="AJ30" t="s">
        <v>62</v>
      </c>
      <c r="AK30" t="s">
        <v>63</v>
      </c>
      <c r="AL30" t="s">
        <v>64</v>
      </c>
      <c r="AM30" t="s">
        <v>46</v>
      </c>
      <c r="AN30" t="s">
        <v>60</v>
      </c>
      <c r="AO30" t="s">
        <v>62</v>
      </c>
      <c r="AP30" t="s">
        <v>135</v>
      </c>
      <c r="AQ30" t="s">
        <v>66</v>
      </c>
      <c r="AR30" t="s">
        <v>67</v>
      </c>
    </row>
    <row r="31" spans="1:44">
      <c r="A31" s="1">
        <v>45427</v>
      </c>
      <c r="B31" s="2">
        <v>0.22721064814814815</v>
      </c>
      <c r="C31" t="s">
        <v>44</v>
      </c>
      <c r="D31" t="s">
        <v>45</v>
      </c>
      <c r="E31">
        <v>0.312</v>
      </c>
      <c r="F31" t="s">
        <v>46</v>
      </c>
      <c r="G31" t="s">
        <v>47</v>
      </c>
      <c r="H31" t="s">
        <v>45</v>
      </c>
      <c r="I31">
        <v>0.24099999999999999</v>
      </c>
      <c r="J31" t="s">
        <v>46</v>
      </c>
      <c r="K31" t="s">
        <v>48</v>
      </c>
      <c r="L31" t="s">
        <v>49</v>
      </c>
      <c r="M31" t="s">
        <v>50</v>
      </c>
      <c r="N31" t="s">
        <v>51</v>
      </c>
      <c r="O31">
        <v>3.45</v>
      </c>
      <c r="P31">
        <v>8.27</v>
      </c>
      <c r="Q31" t="s">
        <v>46</v>
      </c>
      <c r="R31" t="s">
        <v>52</v>
      </c>
      <c r="S31" t="s">
        <v>53</v>
      </c>
      <c r="T31" t="s">
        <v>46</v>
      </c>
      <c r="U31" t="s">
        <v>54</v>
      </c>
      <c r="V31" t="s">
        <v>55</v>
      </c>
      <c r="W31" t="s">
        <v>74</v>
      </c>
      <c r="X31" t="s">
        <v>120</v>
      </c>
      <c r="Y31">
        <v>1.93</v>
      </c>
      <c r="Z31" t="s">
        <v>46</v>
      </c>
      <c r="AA31" t="s">
        <v>58</v>
      </c>
      <c r="AB31" t="s">
        <v>59</v>
      </c>
      <c r="AC31">
        <v>282</v>
      </c>
      <c r="AD31" t="s">
        <v>46</v>
      </c>
      <c r="AE31" t="s">
        <v>60</v>
      </c>
      <c r="AF31" t="s">
        <v>45</v>
      </c>
      <c r="AG31" t="s">
        <v>46</v>
      </c>
      <c r="AH31" t="s">
        <v>61</v>
      </c>
      <c r="AI31" t="s">
        <v>48</v>
      </c>
      <c r="AJ31" t="s">
        <v>62</v>
      </c>
      <c r="AK31" t="s">
        <v>63</v>
      </c>
      <c r="AL31" t="s">
        <v>64</v>
      </c>
      <c r="AM31" t="s">
        <v>46</v>
      </c>
      <c r="AN31" t="s">
        <v>60</v>
      </c>
      <c r="AO31" t="s">
        <v>62</v>
      </c>
      <c r="AP31" t="s">
        <v>136</v>
      </c>
      <c r="AQ31" t="s">
        <v>66</v>
      </c>
      <c r="AR31" t="s">
        <v>67</v>
      </c>
    </row>
    <row r="32" spans="1:44">
      <c r="A32" s="1">
        <v>45427</v>
      </c>
      <c r="B32" s="2">
        <v>0.22725694444444444</v>
      </c>
      <c r="C32" t="s">
        <v>44</v>
      </c>
      <c r="D32" t="s">
        <v>45</v>
      </c>
      <c r="E32">
        <v>0.79400000000000004</v>
      </c>
      <c r="F32" t="s">
        <v>46</v>
      </c>
      <c r="G32" t="s">
        <v>47</v>
      </c>
      <c r="H32" t="s">
        <v>45</v>
      </c>
      <c r="I32">
        <v>0.2427</v>
      </c>
      <c r="J32" t="s">
        <v>46</v>
      </c>
      <c r="K32" t="s">
        <v>48</v>
      </c>
      <c r="L32" t="s">
        <v>49</v>
      </c>
      <c r="M32" t="s">
        <v>50</v>
      </c>
      <c r="N32" t="s">
        <v>51</v>
      </c>
      <c r="O32">
        <v>3.45</v>
      </c>
      <c r="P32">
        <v>8.27</v>
      </c>
      <c r="Q32" t="s">
        <v>46</v>
      </c>
      <c r="R32" t="s">
        <v>52</v>
      </c>
      <c r="S32" t="s">
        <v>53</v>
      </c>
      <c r="T32" t="s">
        <v>46</v>
      </c>
      <c r="U32" t="s">
        <v>54</v>
      </c>
      <c r="V32" t="s">
        <v>55</v>
      </c>
      <c r="W32" t="s">
        <v>137</v>
      </c>
      <c r="X32" t="s">
        <v>110</v>
      </c>
      <c r="Y32">
        <v>1.94</v>
      </c>
      <c r="Z32" t="s">
        <v>46</v>
      </c>
      <c r="AA32" t="s">
        <v>58</v>
      </c>
      <c r="AB32" t="s">
        <v>59</v>
      </c>
      <c r="AC32">
        <v>282</v>
      </c>
      <c r="AD32" t="s">
        <v>46</v>
      </c>
      <c r="AE32" t="s">
        <v>60</v>
      </c>
      <c r="AF32" t="s">
        <v>45</v>
      </c>
      <c r="AG32" t="s">
        <v>46</v>
      </c>
      <c r="AH32" t="s">
        <v>61</v>
      </c>
      <c r="AI32" t="s">
        <v>48</v>
      </c>
      <c r="AJ32" t="s">
        <v>62</v>
      </c>
      <c r="AK32" t="s">
        <v>63</v>
      </c>
      <c r="AL32" t="s">
        <v>64</v>
      </c>
      <c r="AM32" t="s">
        <v>46</v>
      </c>
      <c r="AN32" t="s">
        <v>60</v>
      </c>
      <c r="AO32" t="s">
        <v>62</v>
      </c>
      <c r="AP32" t="s">
        <v>138</v>
      </c>
      <c r="AQ32" t="s">
        <v>66</v>
      </c>
      <c r="AR32" t="s">
        <v>67</v>
      </c>
    </row>
    <row r="33" spans="1:44">
      <c r="A33" s="1">
        <v>45427</v>
      </c>
      <c r="B33" s="2">
        <v>0.2273148148148148</v>
      </c>
      <c r="C33" t="s">
        <v>44</v>
      </c>
      <c r="D33" t="s">
        <v>45</v>
      </c>
      <c r="E33">
        <v>0.48599999999999999</v>
      </c>
      <c r="F33" t="s">
        <v>46</v>
      </c>
      <c r="G33" t="s">
        <v>47</v>
      </c>
      <c r="H33" t="s">
        <v>45</v>
      </c>
      <c r="I33">
        <v>0.245</v>
      </c>
      <c r="J33" t="s">
        <v>46</v>
      </c>
      <c r="K33" t="s">
        <v>48</v>
      </c>
      <c r="L33" t="s">
        <v>49</v>
      </c>
      <c r="M33" t="s">
        <v>50</v>
      </c>
      <c r="N33" t="s">
        <v>51</v>
      </c>
      <c r="O33">
        <v>3.45</v>
      </c>
      <c r="P33">
        <v>8.27</v>
      </c>
      <c r="Q33" t="s">
        <v>46</v>
      </c>
      <c r="R33" t="s">
        <v>52</v>
      </c>
      <c r="S33" t="s">
        <v>53</v>
      </c>
      <c r="T33" t="s">
        <v>46</v>
      </c>
      <c r="U33" t="s">
        <v>54</v>
      </c>
      <c r="V33" t="s">
        <v>55</v>
      </c>
      <c r="W33" t="s">
        <v>139</v>
      </c>
      <c r="X33" t="s">
        <v>133</v>
      </c>
      <c r="Y33">
        <v>1.93</v>
      </c>
      <c r="Z33" t="s">
        <v>46</v>
      </c>
      <c r="AA33" t="s">
        <v>58</v>
      </c>
      <c r="AB33" t="s">
        <v>59</v>
      </c>
      <c r="AC33">
        <v>282</v>
      </c>
      <c r="AD33" t="s">
        <v>46</v>
      </c>
      <c r="AE33" t="s">
        <v>60</v>
      </c>
      <c r="AF33" t="s">
        <v>45</v>
      </c>
      <c r="AG33" t="s">
        <v>46</v>
      </c>
      <c r="AH33" t="s">
        <v>61</v>
      </c>
      <c r="AI33" t="s">
        <v>48</v>
      </c>
      <c r="AJ33" t="s">
        <v>62</v>
      </c>
      <c r="AK33" t="s">
        <v>63</v>
      </c>
      <c r="AL33" t="s">
        <v>64</v>
      </c>
      <c r="AM33" t="s">
        <v>46</v>
      </c>
      <c r="AN33" t="s">
        <v>60</v>
      </c>
      <c r="AO33" t="s">
        <v>62</v>
      </c>
      <c r="AP33" t="s">
        <v>140</v>
      </c>
      <c r="AQ33" t="s">
        <v>66</v>
      </c>
      <c r="AR33" t="s">
        <v>67</v>
      </c>
    </row>
    <row r="34" spans="1:44">
      <c r="A34" s="1">
        <v>45427</v>
      </c>
      <c r="B34" s="2">
        <v>0.22736111111111112</v>
      </c>
      <c r="C34" t="s">
        <v>44</v>
      </c>
      <c r="D34" t="s">
        <v>45</v>
      </c>
      <c r="E34">
        <v>0.161</v>
      </c>
      <c r="F34" t="s">
        <v>46</v>
      </c>
      <c r="G34" t="s">
        <v>47</v>
      </c>
      <c r="H34" t="s">
        <v>45</v>
      </c>
      <c r="I34">
        <v>0.24660000000000001</v>
      </c>
      <c r="J34" t="s">
        <v>46</v>
      </c>
      <c r="K34" t="s">
        <v>48</v>
      </c>
      <c r="L34" t="s">
        <v>49</v>
      </c>
      <c r="M34" t="s">
        <v>50</v>
      </c>
      <c r="N34" t="s">
        <v>51</v>
      </c>
      <c r="O34">
        <v>3.45</v>
      </c>
      <c r="P34">
        <v>8.27</v>
      </c>
      <c r="Q34" t="s">
        <v>46</v>
      </c>
      <c r="R34" t="s">
        <v>52</v>
      </c>
      <c r="S34" t="s">
        <v>53</v>
      </c>
      <c r="T34" t="s">
        <v>46</v>
      </c>
      <c r="U34" t="s">
        <v>54</v>
      </c>
      <c r="V34" t="s">
        <v>55</v>
      </c>
      <c r="W34" t="s">
        <v>141</v>
      </c>
      <c r="X34" t="s">
        <v>142</v>
      </c>
      <c r="Y34">
        <v>1.94</v>
      </c>
      <c r="Z34" t="s">
        <v>46</v>
      </c>
      <c r="AA34" t="s">
        <v>58</v>
      </c>
      <c r="AB34" t="s">
        <v>59</v>
      </c>
      <c r="AC34">
        <v>282</v>
      </c>
      <c r="AD34" t="s">
        <v>46</v>
      </c>
      <c r="AE34" t="s">
        <v>60</v>
      </c>
      <c r="AF34" t="s">
        <v>45</v>
      </c>
      <c r="AG34" t="s">
        <v>46</v>
      </c>
      <c r="AH34" t="s">
        <v>61</v>
      </c>
      <c r="AI34" t="s">
        <v>48</v>
      </c>
      <c r="AJ34" t="s">
        <v>62</v>
      </c>
      <c r="AK34" t="s">
        <v>63</v>
      </c>
      <c r="AL34" t="s">
        <v>64</v>
      </c>
      <c r="AM34" t="s">
        <v>46</v>
      </c>
      <c r="AN34" t="s">
        <v>60</v>
      </c>
      <c r="AO34" t="s">
        <v>62</v>
      </c>
      <c r="AP34" t="s">
        <v>143</v>
      </c>
      <c r="AQ34" t="s">
        <v>66</v>
      </c>
      <c r="AR34" t="s">
        <v>67</v>
      </c>
    </row>
    <row r="35" spans="1:44">
      <c r="A35" s="1">
        <v>45427</v>
      </c>
      <c r="B35" s="2">
        <v>0.22740740740740742</v>
      </c>
      <c r="C35" t="s">
        <v>44</v>
      </c>
      <c r="D35" t="s">
        <v>45</v>
      </c>
      <c r="E35">
        <v>0.25800000000000001</v>
      </c>
      <c r="F35" t="s">
        <v>46</v>
      </c>
      <c r="G35" t="s">
        <v>47</v>
      </c>
      <c r="H35" t="s">
        <v>45</v>
      </c>
      <c r="I35">
        <v>0.2482</v>
      </c>
      <c r="J35" t="s">
        <v>46</v>
      </c>
      <c r="K35" t="s">
        <v>48</v>
      </c>
      <c r="L35" t="s">
        <v>49</v>
      </c>
      <c r="M35" t="s">
        <v>50</v>
      </c>
      <c r="N35" t="s">
        <v>51</v>
      </c>
      <c r="O35">
        <v>3.45</v>
      </c>
      <c r="P35">
        <v>8.27</v>
      </c>
      <c r="Q35" t="s">
        <v>46</v>
      </c>
      <c r="R35" t="s">
        <v>52</v>
      </c>
      <c r="S35" t="s">
        <v>53</v>
      </c>
      <c r="T35" t="s">
        <v>46</v>
      </c>
      <c r="U35" t="s">
        <v>54</v>
      </c>
      <c r="V35" t="s">
        <v>55</v>
      </c>
      <c r="W35" t="s">
        <v>144</v>
      </c>
      <c r="X35" t="s">
        <v>133</v>
      </c>
      <c r="Y35">
        <v>1.93</v>
      </c>
      <c r="Z35" t="s">
        <v>46</v>
      </c>
      <c r="AA35" t="s">
        <v>58</v>
      </c>
      <c r="AB35" t="s">
        <v>59</v>
      </c>
      <c r="AC35">
        <v>282</v>
      </c>
      <c r="AD35" t="s">
        <v>46</v>
      </c>
      <c r="AE35" t="s">
        <v>60</v>
      </c>
      <c r="AF35" t="s">
        <v>45</v>
      </c>
      <c r="AG35" t="s">
        <v>46</v>
      </c>
      <c r="AH35" t="s">
        <v>61</v>
      </c>
      <c r="AI35" t="s">
        <v>48</v>
      </c>
      <c r="AJ35" t="s">
        <v>62</v>
      </c>
      <c r="AK35" t="s">
        <v>63</v>
      </c>
      <c r="AL35" t="s">
        <v>64</v>
      </c>
      <c r="AM35" t="s">
        <v>46</v>
      </c>
      <c r="AN35" t="s">
        <v>60</v>
      </c>
      <c r="AO35" t="s">
        <v>62</v>
      </c>
      <c r="AP35" t="s">
        <v>145</v>
      </c>
      <c r="AQ35" t="s">
        <v>66</v>
      </c>
      <c r="AR35" t="s">
        <v>67</v>
      </c>
    </row>
    <row r="36" spans="1:44">
      <c r="A36" s="1">
        <v>45427</v>
      </c>
      <c r="B36" s="2">
        <v>0.22745370370370371</v>
      </c>
      <c r="C36" t="s">
        <v>44</v>
      </c>
      <c r="D36" t="s">
        <v>45</v>
      </c>
      <c r="E36">
        <v>0.91400000000000003</v>
      </c>
      <c r="F36" t="s">
        <v>46</v>
      </c>
      <c r="G36" t="s">
        <v>47</v>
      </c>
      <c r="H36" t="s">
        <v>45</v>
      </c>
      <c r="I36">
        <v>0.25019999999999998</v>
      </c>
      <c r="J36" t="s">
        <v>46</v>
      </c>
      <c r="K36" t="s">
        <v>48</v>
      </c>
      <c r="L36" t="s">
        <v>49</v>
      </c>
      <c r="M36" t="s">
        <v>50</v>
      </c>
      <c r="N36" t="s">
        <v>51</v>
      </c>
      <c r="O36">
        <v>3.45</v>
      </c>
      <c r="P36">
        <v>8.27</v>
      </c>
      <c r="Q36" t="s">
        <v>46</v>
      </c>
      <c r="R36" t="s">
        <v>52</v>
      </c>
      <c r="S36" t="s">
        <v>53</v>
      </c>
      <c r="T36" t="s">
        <v>46</v>
      </c>
      <c r="U36" t="s">
        <v>54</v>
      </c>
      <c r="V36" t="s">
        <v>55</v>
      </c>
      <c r="W36" t="s">
        <v>146</v>
      </c>
      <c r="X36" t="s">
        <v>147</v>
      </c>
      <c r="Y36">
        <v>1.92</v>
      </c>
      <c r="Z36" t="s">
        <v>46</v>
      </c>
      <c r="AA36" t="s">
        <v>58</v>
      </c>
      <c r="AB36" t="s">
        <v>59</v>
      </c>
      <c r="AC36">
        <v>282</v>
      </c>
      <c r="AD36" t="s">
        <v>46</v>
      </c>
      <c r="AE36" t="s">
        <v>60</v>
      </c>
      <c r="AF36" t="s">
        <v>45</v>
      </c>
      <c r="AG36" t="s">
        <v>46</v>
      </c>
      <c r="AH36" t="s">
        <v>61</v>
      </c>
      <c r="AI36" t="s">
        <v>48</v>
      </c>
      <c r="AJ36" t="s">
        <v>62</v>
      </c>
      <c r="AK36" t="s">
        <v>63</v>
      </c>
      <c r="AL36" t="s">
        <v>64</v>
      </c>
      <c r="AM36" t="s">
        <v>46</v>
      </c>
      <c r="AN36" t="s">
        <v>60</v>
      </c>
      <c r="AO36" t="s">
        <v>62</v>
      </c>
      <c r="AP36" t="s">
        <v>148</v>
      </c>
      <c r="AQ36" t="s">
        <v>66</v>
      </c>
      <c r="AR36" t="s">
        <v>67</v>
      </c>
    </row>
    <row r="37" spans="1:44">
      <c r="A37" s="1">
        <v>45427</v>
      </c>
      <c r="B37" s="2">
        <v>0.22750000000000001</v>
      </c>
      <c r="C37" t="s">
        <v>44</v>
      </c>
      <c r="D37" t="s">
        <v>45</v>
      </c>
      <c r="E37">
        <v>0.27300000000000002</v>
      </c>
      <c r="F37" t="s">
        <v>46</v>
      </c>
      <c r="G37" t="s">
        <v>47</v>
      </c>
      <c r="H37" t="s">
        <v>45</v>
      </c>
      <c r="I37">
        <v>0.25090000000000001</v>
      </c>
      <c r="J37" t="s">
        <v>46</v>
      </c>
      <c r="K37" t="s">
        <v>48</v>
      </c>
      <c r="L37" t="s">
        <v>49</v>
      </c>
      <c r="M37" t="s">
        <v>50</v>
      </c>
      <c r="N37" t="s">
        <v>51</v>
      </c>
      <c r="O37">
        <v>3.45</v>
      </c>
      <c r="P37">
        <v>8.27</v>
      </c>
      <c r="Q37" t="s">
        <v>46</v>
      </c>
      <c r="R37" t="s">
        <v>52</v>
      </c>
      <c r="S37" t="s">
        <v>53</v>
      </c>
      <c r="T37" t="s">
        <v>46</v>
      </c>
      <c r="U37" t="s">
        <v>54</v>
      </c>
      <c r="V37" t="s">
        <v>55</v>
      </c>
      <c r="W37" t="s">
        <v>71</v>
      </c>
      <c r="X37" t="s">
        <v>149</v>
      </c>
      <c r="Y37">
        <v>1.91</v>
      </c>
      <c r="Z37" t="s">
        <v>46</v>
      </c>
      <c r="AA37" t="s">
        <v>58</v>
      </c>
      <c r="AB37" t="s">
        <v>59</v>
      </c>
      <c r="AC37">
        <v>282</v>
      </c>
      <c r="AD37" t="s">
        <v>46</v>
      </c>
      <c r="AE37" t="s">
        <v>60</v>
      </c>
      <c r="AF37" t="s">
        <v>45</v>
      </c>
      <c r="AG37" t="s">
        <v>46</v>
      </c>
      <c r="AH37" t="s">
        <v>61</v>
      </c>
      <c r="AI37" t="s">
        <v>48</v>
      </c>
      <c r="AJ37" t="s">
        <v>62</v>
      </c>
      <c r="AK37" t="s">
        <v>63</v>
      </c>
      <c r="AL37" t="s">
        <v>64</v>
      </c>
      <c r="AM37" t="s">
        <v>46</v>
      </c>
      <c r="AN37" t="s">
        <v>60</v>
      </c>
      <c r="AO37" t="s">
        <v>62</v>
      </c>
      <c r="AP37" t="s">
        <v>150</v>
      </c>
      <c r="AQ37" t="s">
        <v>66</v>
      </c>
      <c r="AR37" t="s">
        <v>67</v>
      </c>
    </row>
    <row r="38" spans="1:44">
      <c r="A38" s="1">
        <v>45427</v>
      </c>
      <c r="B38" s="2">
        <v>0.22755787037037037</v>
      </c>
      <c r="C38" t="s">
        <v>44</v>
      </c>
      <c r="D38" t="s">
        <v>45</v>
      </c>
      <c r="E38">
        <v>0.32400000000000001</v>
      </c>
      <c r="F38" t="s">
        <v>46</v>
      </c>
      <c r="G38" t="s">
        <v>47</v>
      </c>
      <c r="H38" t="s">
        <v>45</v>
      </c>
      <c r="I38">
        <v>0.25180000000000002</v>
      </c>
      <c r="J38" t="s">
        <v>46</v>
      </c>
      <c r="K38" t="s">
        <v>48</v>
      </c>
      <c r="L38" t="s">
        <v>49</v>
      </c>
      <c r="M38" t="s">
        <v>50</v>
      </c>
      <c r="N38" t="s">
        <v>51</v>
      </c>
      <c r="O38">
        <v>3.45</v>
      </c>
      <c r="P38">
        <v>8.27</v>
      </c>
      <c r="Q38" t="s">
        <v>46</v>
      </c>
      <c r="R38" t="s">
        <v>52</v>
      </c>
      <c r="S38" t="s">
        <v>53</v>
      </c>
      <c r="T38" t="s">
        <v>46</v>
      </c>
      <c r="U38" t="s">
        <v>54</v>
      </c>
      <c r="V38" t="s">
        <v>55</v>
      </c>
      <c r="W38" t="s">
        <v>71</v>
      </c>
      <c r="X38" t="s">
        <v>149</v>
      </c>
      <c r="Y38">
        <v>1.91</v>
      </c>
      <c r="Z38" t="s">
        <v>46</v>
      </c>
      <c r="AA38" t="s">
        <v>58</v>
      </c>
      <c r="AB38" t="s">
        <v>59</v>
      </c>
      <c r="AC38">
        <v>282</v>
      </c>
      <c r="AD38" t="s">
        <v>46</v>
      </c>
      <c r="AE38" t="s">
        <v>60</v>
      </c>
      <c r="AF38" t="s">
        <v>45</v>
      </c>
      <c r="AG38" t="s">
        <v>46</v>
      </c>
      <c r="AH38" t="s">
        <v>61</v>
      </c>
      <c r="AI38" t="s">
        <v>48</v>
      </c>
      <c r="AJ38" t="s">
        <v>62</v>
      </c>
      <c r="AK38" t="s">
        <v>63</v>
      </c>
      <c r="AL38" t="s">
        <v>64</v>
      </c>
      <c r="AM38" t="s">
        <v>46</v>
      </c>
      <c r="AN38" t="s">
        <v>60</v>
      </c>
      <c r="AO38" t="s">
        <v>62</v>
      </c>
      <c r="AP38" t="s">
        <v>151</v>
      </c>
      <c r="AQ38" t="s">
        <v>66</v>
      </c>
      <c r="AR38" t="s">
        <v>67</v>
      </c>
    </row>
    <row r="39" spans="1:44">
      <c r="A39" s="1">
        <v>45427</v>
      </c>
      <c r="B39" s="2">
        <v>0.22760416666666666</v>
      </c>
      <c r="C39" t="s">
        <v>44</v>
      </c>
      <c r="D39" t="s">
        <v>45</v>
      </c>
      <c r="E39">
        <v>0.88200000000000001</v>
      </c>
      <c r="F39" t="s">
        <v>46</v>
      </c>
      <c r="G39" t="s">
        <v>47</v>
      </c>
      <c r="H39" t="s">
        <v>45</v>
      </c>
      <c r="I39">
        <v>0.25280000000000002</v>
      </c>
      <c r="J39" t="s">
        <v>46</v>
      </c>
      <c r="K39" t="s">
        <v>48</v>
      </c>
      <c r="L39" t="s">
        <v>49</v>
      </c>
      <c r="M39" t="s">
        <v>50</v>
      </c>
      <c r="N39" t="s">
        <v>51</v>
      </c>
      <c r="O39">
        <v>3.45</v>
      </c>
      <c r="P39">
        <v>8.27</v>
      </c>
      <c r="Q39" t="s">
        <v>46</v>
      </c>
      <c r="R39" t="s">
        <v>52</v>
      </c>
      <c r="S39" t="s">
        <v>53</v>
      </c>
      <c r="T39" t="s">
        <v>46</v>
      </c>
      <c r="U39" t="s">
        <v>54</v>
      </c>
      <c r="V39" t="s">
        <v>55</v>
      </c>
      <c r="W39" t="s">
        <v>152</v>
      </c>
      <c r="X39" t="s">
        <v>130</v>
      </c>
      <c r="Y39">
        <v>1.9</v>
      </c>
      <c r="Z39" t="s">
        <v>46</v>
      </c>
      <c r="AA39" t="s">
        <v>58</v>
      </c>
      <c r="AB39" t="s">
        <v>59</v>
      </c>
      <c r="AC39">
        <v>282</v>
      </c>
      <c r="AD39" t="s">
        <v>46</v>
      </c>
      <c r="AE39" t="s">
        <v>60</v>
      </c>
      <c r="AF39" t="s">
        <v>45</v>
      </c>
      <c r="AG39" t="s">
        <v>46</v>
      </c>
      <c r="AH39" t="s">
        <v>61</v>
      </c>
      <c r="AI39" t="s">
        <v>48</v>
      </c>
      <c r="AJ39" t="s">
        <v>62</v>
      </c>
      <c r="AK39" t="s">
        <v>63</v>
      </c>
      <c r="AL39" t="s">
        <v>64</v>
      </c>
      <c r="AM39" t="s">
        <v>46</v>
      </c>
      <c r="AN39" t="s">
        <v>60</v>
      </c>
      <c r="AO39" t="s">
        <v>62</v>
      </c>
      <c r="AP39" t="s">
        <v>153</v>
      </c>
      <c r="AQ39" t="s">
        <v>66</v>
      </c>
      <c r="AR39" t="s">
        <v>67</v>
      </c>
    </row>
    <row r="40" spans="1:44">
      <c r="A40" s="1">
        <v>45427</v>
      </c>
      <c r="B40" s="2">
        <v>0.22765046296296296</v>
      </c>
      <c r="C40" t="s">
        <v>44</v>
      </c>
      <c r="D40" t="s">
        <v>45</v>
      </c>
      <c r="E40">
        <v>0.65600000000000003</v>
      </c>
      <c r="F40" t="s">
        <v>46</v>
      </c>
      <c r="G40" t="s">
        <v>47</v>
      </c>
      <c r="H40" t="s">
        <v>45</v>
      </c>
      <c r="I40">
        <v>0.25359999999999999</v>
      </c>
      <c r="J40" t="s">
        <v>46</v>
      </c>
      <c r="K40" t="s">
        <v>48</v>
      </c>
      <c r="L40" t="s">
        <v>49</v>
      </c>
      <c r="M40" t="s">
        <v>50</v>
      </c>
      <c r="N40" t="s">
        <v>51</v>
      </c>
      <c r="O40">
        <v>3.45</v>
      </c>
      <c r="P40">
        <v>8.27</v>
      </c>
      <c r="Q40" t="s">
        <v>46</v>
      </c>
      <c r="R40" t="s">
        <v>52</v>
      </c>
      <c r="S40" t="s">
        <v>53</v>
      </c>
      <c r="T40" t="s">
        <v>46</v>
      </c>
      <c r="U40" t="s">
        <v>54</v>
      </c>
      <c r="V40" t="s">
        <v>55</v>
      </c>
      <c r="W40" t="s">
        <v>154</v>
      </c>
      <c r="X40" t="s">
        <v>155</v>
      </c>
      <c r="Y40">
        <v>1.9</v>
      </c>
      <c r="Z40" t="s">
        <v>46</v>
      </c>
      <c r="AA40" t="s">
        <v>58</v>
      </c>
      <c r="AB40" t="s">
        <v>59</v>
      </c>
      <c r="AC40">
        <v>282</v>
      </c>
      <c r="AD40" t="s">
        <v>46</v>
      </c>
      <c r="AE40" t="s">
        <v>60</v>
      </c>
      <c r="AF40" t="s">
        <v>45</v>
      </c>
      <c r="AG40" t="s">
        <v>46</v>
      </c>
      <c r="AH40" t="s">
        <v>61</v>
      </c>
      <c r="AI40" t="s">
        <v>48</v>
      </c>
      <c r="AJ40" t="s">
        <v>62</v>
      </c>
      <c r="AK40" t="s">
        <v>63</v>
      </c>
      <c r="AL40" t="s">
        <v>64</v>
      </c>
      <c r="AM40" t="s">
        <v>46</v>
      </c>
      <c r="AN40" t="s">
        <v>60</v>
      </c>
      <c r="AO40" t="s">
        <v>62</v>
      </c>
      <c r="AP40" t="s">
        <v>156</v>
      </c>
      <c r="AQ40" t="s">
        <v>66</v>
      </c>
      <c r="AR40" t="s">
        <v>67</v>
      </c>
    </row>
    <row r="41" spans="1:44">
      <c r="A41" s="1">
        <v>45427</v>
      </c>
      <c r="B41" s="2">
        <v>0.22769675925925925</v>
      </c>
      <c r="C41" t="s">
        <v>44</v>
      </c>
      <c r="D41" t="s">
        <v>45</v>
      </c>
      <c r="E41">
        <v>0.66700000000000004</v>
      </c>
      <c r="F41" t="s">
        <v>46</v>
      </c>
      <c r="G41" t="s">
        <v>47</v>
      </c>
      <c r="H41" t="s">
        <v>45</v>
      </c>
      <c r="I41">
        <v>0.25359999999999999</v>
      </c>
      <c r="J41" t="s">
        <v>46</v>
      </c>
      <c r="K41" t="s">
        <v>48</v>
      </c>
      <c r="L41" t="s">
        <v>49</v>
      </c>
      <c r="M41" t="s">
        <v>50</v>
      </c>
      <c r="N41" t="s">
        <v>51</v>
      </c>
      <c r="O41">
        <v>3.45</v>
      </c>
      <c r="P41">
        <v>8.27</v>
      </c>
      <c r="Q41" t="s">
        <v>46</v>
      </c>
      <c r="R41" t="s">
        <v>52</v>
      </c>
      <c r="S41" t="s">
        <v>53</v>
      </c>
      <c r="T41" t="s">
        <v>46</v>
      </c>
      <c r="U41" t="s">
        <v>54</v>
      </c>
      <c r="V41" t="s">
        <v>55</v>
      </c>
      <c r="W41" t="s">
        <v>116</v>
      </c>
      <c r="X41" t="s">
        <v>157</v>
      </c>
      <c r="Y41">
        <v>1.89</v>
      </c>
      <c r="Z41" t="s">
        <v>46</v>
      </c>
      <c r="AA41" t="s">
        <v>58</v>
      </c>
      <c r="AB41" t="s">
        <v>59</v>
      </c>
      <c r="AC41">
        <v>283</v>
      </c>
      <c r="AD41" t="s">
        <v>46</v>
      </c>
      <c r="AE41" t="s">
        <v>60</v>
      </c>
      <c r="AF41" t="s">
        <v>45</v>
      </c>
      <c r="AG41" t="s">
        <v>46</v>
      </c>
      <c r="AH41" t="s">
        <v>61</v>
      </c>
      <c r="AI41" t="s">
        <v>48</v>
      </c>
      <c r="AJ41" t="s">
        <v>62</v>
      </c>
      <c r="AK41" t="s">
        <v>63</v>
      </c>
      <c r="AL41" t="s">
        <v>64</v>
      </c>
      <c r="AM41" t="s">
        <v>46</v>
      </c>
      <c r="AN41" t="s">
        <v>60</v>
      </c>
      <c r="AO41" t="s">
        <v>62</v>
      </c>
      <c r="AP41" t="s">
        <v>158</v>
      </c>
      <c r="AQ41" t="s">
        <v>66</v>
      </c>
      <c r="AR41" t="s">
        <v>67</v>
      </c>
    </row>
    <row r="42" spans="1:44">
      <c r="A42" s="1">
        <v>45427</v>
      </c>
      <c r="B42" s="2">
        <v>0.22775462962962964</v>
      </c>
      <c r="C42" t="s">
        <v>44</v>
      </c>
      <c r="D42" t="s">
        <v>45</v>
      </c>
      <c r="E42">
        <v>0.45500000000000002</v>
      </c>
      <c r="F42" t="s">
        <v>46</v>
      </c>
      <c r="G42" t="s">
        <v>47</v>
      </c>
      <c r="H42" t="s">
        <v>45</v>
      </c>
      <c r="I42">
        <v>0.25369999999999998</v>
      </c>
      <c r="J42" t="s">
        <v>46</v>
      </c>
      <c r="K42" t="s">
        <v>48</v>
      </c>
      <c r="L42" t="s">
        <v>49</v>
      </c>
      <c r="M42" t="s">
        <v>50</v>
      </c>
      <c r="N42" t="s">
        <v>51</v>
      </c>
      <c r="O42">
        <v>3.45</v>
      </c>
      <c r="P42">
        <v>8.27</v>
      </c>
      <c r="Q42" t="s">
        <v>46</v>
      </c>
      <c r="R42" t="s">
        <v>52</v>
      </c>
      <c r="S42" t="s">
        <v>53</v>
      </c>
      <c r="T42" t="s">
        <v>46</v>
      </c>
      <c r="U42" t="s">
        <v>54</v>
      </c>
      <c r="V42" t="s">
        <v>55</v>
      </c>
      <c r="W42" t="s">
        <v>119</v>
      </c>
      <c r="X42" t="s">
        <v>159</v>
      </c>
      <c r="Y42">
        <v>1.88</v>
      </c>
      <c r="Z42" t="s">
        <v>46</v>
      </c>
      <c r="AA42" t="s">
        <v>58</v>
      </c>
      <c r="AB42" t="s">
        <v>59</v>
      </c>
      <c r="AC42">
        <v>282</v>
      </c>
      <c r="AD42" t="s">
        <v>46</v>
      </c>
      <c r="AE42" t="s">
        <v>60</v>
      </c>
      <c r="AF42" t="s">
        <v>45</v>
      </c>
      <c r="AG42" t="s">
        <v>46</v>
      </c>
      <c r="AH42" t="s">
        <v>61</v>
      </c>
      <c r="AI42" t="s">
        <v>48</v>
      </c>
      <c r="AJ42" t="s">
        <v>62</v>
      </c>
      <c r="AK42" t="s">
        <v>63</v>
      </c>
      <c r="AL42" t="s">
        <v>64</v>
      </c>
      <c r="AM42" t="s">
        <v>46</v>
      </c>
      <c r="AN42" t="s">
        <v>60</v>
      </c>
      <c r="AO42" t="s">
        <v>62</v>
      </c>
      <c r="AP42" t="s">
        <v>160</v>
      </c>
      <c r="AQ42" t="s">
        <v>66</v>
      </c>
      <c r="AR42" t="s">
        <v>67</v>
      </c>
    </row>
    <row r="43" spans="1:44">
      <c r="A43" s="1"/>
      <c r="B43" s="2"/>
      <c r="E43" s="3">
        <f>AVERAGE(log_v1_051524_tc_1[Column5])</f>
        <v>0.52724390243902441</v>
      </c>
      <c r="I43" s="3">
        <f>AVERAGE(log_v1_051524_tc_1[Column9])</f>
        <v>0.23281707317073178</v>
      </c>
      <c r="O43">
        <f>AVERAGE(log_v1_051524_tc_1[Column15])</f>
        <v>3.4500000000000011</v>
      </c>
      <c r="P43">
        <f>AVERAGE(log_v1_051524_tc_1[Column16])</f>
        <v>8.2699999999999978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B640-DDB1-468F-B9F1-7659729836F1}">
  <dimension ref="A1:AR29"/>
  <sheetViews>
    <sheetView topLeftCell="F22" workbookViewId="0">
      <selection activeCell="O29" sqref="O29:P29"/>
    </sheetView>
  </sheetViews>
  <sheetFormatPr defaultRowHeight="14.45"/>
  <cols>
    <col min="1" max="9" width="10.7109375" bestFit="1" customWidth="1"/>
    <col min="10" max="41" width="11.7109375" bestFit="1" customWidth="1"/>
    <col min="42" max="42" width="25.7109375" bestFit="1" customWidth="1"/>
    <col min="43" max="44" width="11.7109375" bestFit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45427</v>
      </c>
      <c r="B2" s="2">
        <v>0.22839120370370369</v>
      </c>
      <c r="C2" t="s">
        <v>44</v>
      </c>
      <c r="D2" t="s">
        <v>45</v>
      </c>
      <c r="E2">
        <v>0.17599999999999999</v>
      </c>
      <c r="F2" t="s">
        <v>46</v>
      </c>
      <c r="G2" t="s">
        <v>47</v>
      </c>
      <c r="H2" t="s">
        <v>45</v>
      </c>
      <c r="I2">
        <v>0.25409999999999999</v>
      </c>
      <c r="J2" t="s">
        <v>46</v>
      </c>
      <c r="K2" t="s">
        <v>48</v>
      </c>
      <c r="L2" t="s">
        <v>49</v>
      </c>
      <c r="M2" t="s">
        <v>50</v>
      </c>
      <c r="N2" t="s">
        <v>51</v>
      </c>
      <c r="O2">
        <v>3.45</v>
      </c>
      <c r="P2">
        <v>8.27</v>
      </c>
      <c r="Q2" t="s">
        <v>46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161</v>
      </c>
      <c r="X2" t="s">
        <v>162</v>
      </c>
      <c r="Y2">
        <v>1.79</v>
      </c>
      <c r="Z2" t="s">
        <v>46</v>
      </c>
      <c r="AA2" t="s">
        <v>58</v>
      </c>
      <c r="AB2" t="s">
        <v>59</v>
      </c>
      <c r="AC2">
        <v>282</v>
      </c>
      <c r="AD2" t="s">
        <v>46</v>
      </c>
      <c r="AE2" t="s">
        <v>60</v>
      </c>
      <c r="AF2" t="s">
        <v>45</v>
      </c>
      <c r="AG2" t="s">
        <v>46</v>
      </c>
      <c r="AH2" t="s">
        <v>61</v>
      </c>
      <c r="AI2" t="s">
        <v>48</v>
      </c>
      <c r="AJ2" t="s">
        <v>62</v>
      </c>
      <c r="AK2" t="s">
        <v>63</v>
      </c>
      <c r="AL2" t="s">
        <v>64</v>
      </c>
      <c r="AM2" t="s">
        <v>46</v>
      </c>
      <c r="AN2" t="s">
        <v>60</v>
      </c>
      <c r="AO2" t="s">
        <v>62</v>
      </c>
      <c r="AP2" t="s">
        <v>163</v>
      </c>
      <c r="AQ2" t="s">
        <v>66</v>
      </c>
      <c r="AR2" t="s">
        <v>67</v>
      </c>
    </row>
    <row r="3" spans="1:44">
      <c r="A3" s="1">
        <v>45427</v>
      </c>
      <c r="B3" s="2">
        <v>0.22843749999999999</v>
      </c>
      <c r="C3" t="s">
        <v>44</v>
      </c>
      <c r="D3" t="s">
        <v>45</v>
      </c>
      <c r="E3">
        <v>0.36399999999999999</v>
      </c>
      <c r="F3" t="s">
        <v>46</v>
      </c>
      <c r="G3" t="s">
        <v>47</v>
      </c>
      <c r="H3" t="s">
        <v>45</v>
      </c>
      <c r="I3">
        <v>0.25419999999999998</v>
      </c>
      <c r="J3" t="s">
        <v>46</v>
      </c>
      <c r="K3" t="s">
        <v>48</v>
      </c>
      <c r="L3" t="s">
        <v>49</v>
      </c>
      <c r="M3" t="s">
        <v>50</v>
      </c>
      <c r="N3" t="s">
        <v>51</v>
      </c>
      <c r="O3">
        <v>3.45</v>
      </c>
      <c r="P3">
        <v>8.27</v>
      </c>
      <c r="Q3" t="s">
        <v>46</v>
      </c>
      <c r="R3" t="s">
        <v>52</v>
      </c>
      <c r="S3" t="s">
        <v>53</v>
      </c>
      <c r="T3" t="s">
        <v>46</v>
      </c>
      <c r="U3" t="s">
        <v>54</v>
      </c>
      <c r="V3" t="s">
        <v>55</v>
      </c>
      <c r="W3" t="s">
        <v>164</v>
      </c>
      <c r="X3" t="s">
        <v>165</v>
      </c>
      <c r="Y3">
        <v>1.78</v>
      </c>
      <c r="Z3" t="s">
        <v>46</v>
      </c>
      <c r="AA3" t="s">
        <v>58</v>
      </c>
      <c r="AB3" t="s">
        <v>59</v>
      </c>
      <c r="AC3">
        <v>283</v>
      </c>
      <c r="AD3" t="s">
        <v>46</v>
      </c>
      <c r="AE3" t="s">
        <v>60</v>
      </c>
      <c r="AF3" t="s">
        <v>45</v>
      </c>
      <c r="AG3" t="s">
        <v>46</v>
      </c>
      <c r="AH3" t="s">
        <v>61</v>
      </c>
      <c r="AI3" t="s">
        <v>48</v>
      </c>
      <c r="AJ3" t="s">
        <v>62</v>
      </c>
      <c r="AK3" t="s">
        <v>63</v>
      </c>
      <c r="AL3" t="s">
        <v>64</v>
      </c>
      <c r="AM3" t="s">
        <v>46</v>
      </c>
      <c r="AN3" t="s">
        <v>60</v>
      </c>
      <c r="AO3" t="s">
        <v>62</v>
      </c>
      <c r="AP3" t="s">
        <v>166</v>
      </c>
      <c r="AQ3" t="s">
        <v>66</v>
      </c>
      <c r="AR3" t="s">
        <v>67</v>
      </c>
    </row>
    <row r="4" spans="1:44">
      <c r="A4" s="1">
        <v>45427</v>
      </c>
      <c r="B4" s="2">
        <v>0.22848379629629631</v>
      </c>
      <c r="C4" t="s">
        <v>44</v>
      </c>
      <c r="D4" t="s">
        <v>45</v>
      </c>
      <c r="E4">
        <v>0.125</v>
      </c>
      <c r="F4" t="s">
        <v>46</v>
      </c>
      <c r="G4" t="s">
        <v>47</v>
      </c>
      <c r="H4" t="s">
        <v>45</v>
      </c>
      <c r="I4">
        <v>0.2545</v>
      </c>
      <c r="J4" t="s">
        <v>46</v>
      </c>
      <c r="K4" t="s">
        <v>48</v>
      </c>
      <c r="L4" t="s">
        <v>49</v>
      </c>
      <c r="M4" t="s">
        <v>50</v>
      </c>
      <c r="N4" t="s">
        <v>51</v>
      </c>
      <c r="O4">
        <v>3.45</v>
      </c>
      <c r="P4">
        <v>8.27</v>
      </c>
      <c r="Q4" t="s">
        <v>46</v>
      </c>
      <c r="R4" t="s">
        <v>52</v>
      </c>
      <c r="S4" t="s">
        <v>53</v>
      </c>
      <c r="T4" t="s">
        <v>46</v>
      </c>
      <c r="U4" t="s">
        <v>54</v>
      </c>
      <c r="V4" t="s">
        <v>55</v>
      </c>
      <c r="W4" t="s">
        <v>167</v>
      </c>
      <c r="X4" t="s">
        <v>168</v>
      </c>
      <c r="Y4">
        <v>1.77</v>
      </c>
      <c r="Z4" t="s">
        <v>46</v>
      </c>
      <c r="AA4" t="s">
        <v>58</v>
      </c>
      <c r="AB4" t="s">
        <v>59</v>
      </c>
      <c r="AC4">
        <v>283</v>
      </c>
      <c r="AD4" t="s">
        <v>46</v>
      </c>
      <c r="AE4" t="s">
        <v>60</v>
      </c>
      <c r="AF4" t="s">
        <v>45</v>
      </c>
      <c r="AG4" t="s">
        <v>46</v>
      </c>
      <c r="AH4" t="s">
        <v>61</v>
      </c>
      <c r="AI4" t="s">
        <v>48</v>
      </c>
      <c r="AJ4" t="s">
        <v>62</v>
      </c>
      <c r="AK4" t="s">
        <v>63</v>
      </c>
      <c r="AL4" t="s">
        <v>64</v>
      </c>
      <c r="AM4" t="s">
        <v>46</v>
      </c>
      <c r="AN4" t="s">
        <v>60</v>
      </c>
      <c r="AO4" t="s">
        <v>62</v>
      </c>
      <c r="AP4" t="s">
        <v>169</v>
      </c>
      <c r="AQ4" t="s">
        <v>66</v>
      </c>
      <c r="AR4" t="s">
        <v>67</v>
      </c>
    </row>
    <row r="5" spans="1:44">
      <c r="A5" s="1">
        <v>45427</v>
      </c>
      <c r="B5" s="2">
        <v>0.22854166666666667</v>
      </c>
      <c r="C5" t="s">
        <v>44</v>
      </c>
      <c r="D5" t="s">
        <v>45</v>
      </c>
      <c r="E5">
        <v>0.161</v>
      </c>
      <c r="F5" t="s">
        <v>46</v>
      </c>
      <c r="G5" t="s">
        <v>47</v>
      </c>
      <c r="H5" t="s">
        <v>45</v>
      </c>
      <c r="I5">
        <v>0.2545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>
        <v>3.45</v>
      </c>
      <c r="P5">
        <v>8.27</v>
      </c>
      <c r="Q5" t="s">
        <v>46</v>
      </c>
      <c r="R5" t="s">
        <v>52</v>
      </c>
      <c r="S5" t="s">
        <v>53</v>
      </c>
      <c r="T5" t="s">
        <v>46</v>
      </c>
      <c r="U5" t="s">
        <v>54</v>
      </c>
      <c r="V5" t="s">
        <v>55</v>
      </c>
      <c r="W5" t="s">
        <v>167</v>
      </c>
      <c r="X5" t="s">
        <v>168</v>
      </c>
      <c r="Y5">
        <v>1.77</v>
      </c>
      <c r="Z5" t="s">
        <v>46</v>
      </c>
      <c r="AA5" t="s">
        <v>58</v>
      </c>
      <c r="AB5" t="s">
        <v>59</v>
      </c>
      <c r="AC5">
        <v>283</v>
      </c>
      <c r="AD5" t="s">
        <v>46</v>
      </c>
      <c r="AE5" t="s">
        <v>60</v>
      </c>
      <c r="AF5" t="s">
        <v>45</v>
      </c>
      <c r="AG5" t="s">
        <v>46</v>
      </c>
      <c r="AH5" t="s">
        <v>61</v>
      </c>
      <c r="AI5" t="s">
        <v>48</v>
      </c>
      <c r="AJ5" t="s">
        <v>62</v>
      </c>
      <c r="AK5" t="s">
        <v>63</v>
      </c>
      <c r="AL5" t="s">
        <v>64</v>
      </c>
      <c r="AM5" t="s">
        <v>46</v>
      </c>
      <c r="AN5" t="s">
        <v>60</v>
      </c>
      <c r="AO5" t="s">
        <v>62</v>
      </c>
      <c r="AP5" t="s">
        <v>170</v>
      </c>
      <c r="AQ5" t="s">
        <v>66</v>
      </c>
      <c r="AR5" t="s">
        <v>67</v>
      </c>
    </row>
    <row r="6" spans="1:44">
      <c r="A6" s="1">
        <v>45427</v>
      </c>
      <c r="B6" s="2">
        <v>0.22858796296296297</v>
      </c>
      <c r="C6" t="s">
        <v>44</v>
      </c>
      <c r="D6" t="s">
        <v>45</v>
      </c>
      <c r="E6">
        <v>0.375</v>
      </c>
      <c r="F6" t="s">
        <v>46</v>
      </c>
      <c r="G6" t="s">
        <v>47</v>
      </c>
      <c r="H6" t="s">
        <v>45</v>
      </c>
      <c r="I6">
        <v>0.25459999999999999</v>
      </c>
      <c r="J6" t="s">
        <v>46</v>
      </c>
      <c r="K6" t="s">
        <v>48</v>
      </c>
      <c r="L6" t="s">
        <v>49</v>
      </c>
      <c r="M6" t="s">
        <v>50</v>
      </c>
      <c r="N6" t="s">
        <v>51</v>
      </c>
      <c r="O6">
        <v>3.45</v>
      </c>
      <c r="P6">
        <v>8.27</v>
      </c>
      <c r="Q6" t="s">
        <v>46</v>
      </c>
      <c r="R6" t="s">
        <v>52</v>
      </c>
      <c r="S6" t="s">
        <v>53</v>
      </c>
      <c r="T6" t="s">
        <v>46</v>
      </c>
      <c r="U6" t="s">
        <v>54</v>
      </c>
      <c r="V6" t="s">
        <v>55</v>
      </c>
      <c r="W6" t="s">
        <v>171</v>
      </c>
      <c r="X6" t="s">
        <v>77</v>
      </c>
      <c r="Y6">
        <v>1.78</v>
      </c>
      <c r="Z6" t="s">
        <v>46</v>
      </c>
      <c r="AA6" t="s">
        <v>58</v>
      </c>
      <c r="AB6" t="s">
        <v>59</v>
      </c>
      <c r="AC6">
        <v>283</v>
      </c>
      <c r="AD6" t="s">
        <v>46</v>
      </c>
      <c r="AE6" t="s">
        <v>60</v>
      </c>
      <c r="AF6" t="s">
        <v>45</v>
      </c>
      <c r="AG6" t="s">
        <v>46</v>
      </c>
      <c r="AH6" t="s">
        <v>61</v>
      </c>
      <c r="AI6" t="s">
        <v>48</v>
      </c>
      <c r="AJ6" t="s">
        <v>62</v>
      </c>
      <c r="AK6" t="s">
        <v>63</v>
      </c>
      <c r="AL6" t="s">
        <v>64</v>
      </c>
      <c r="AM6" t="s">
        <v>46</v>
      </c>
      <c r="AN6" t="s">
        <v>60</v>
      </c>
      <c r="AO6" t="s">
        <v>62</v>
      </c>
      <c r="AP6" t="s">
        <v>172</v>
      </c>
      <c r="AQ6" t="s">
        <v>66</v>
      </c>
      <c r="AR6" t="s">
        <v>67</v>
      </c>
    </row>
    <row r="7" spans="1:44">
      <c r="A7" s="1">
        <v>45427</v>
      </c>
      <c r="B7" s="2">
        <v>0.22863425925925926</v>
      </c>
      <c r="C7" t="s">
        <v>44</v>
      </c>
      <c r="D7" t="s">
        <v>45</v>
      </c>
      <c r="E7">
        <v>0.188</v>
      </c>
      <c r="F7" t="s">
        <v>46</v>
      </c>
      <c r="G7" t="s">
        <v>47</v>
      </c>
      <c r="H7" t="s">
        <v>45</v>
      </c>
      <c r="I7">
        <v>0.25469999999999998</v>
      </c>
      <c r="J7" t="s">
        <v>46</v>
      </c>
      <c r="K7" t="s">
        <v>48</v>
      </c>
      <c r="L7" t="s">
        <v>49</v>
      </c>
      <c r="M7" t="s">
        <v>50</v>
      </c>
      <c r="N7" t="s">
        <v>51</v>
      </c>
      <c r="O7">
        <v>3.45</v>
      </c>
      <c r="P7">
        <v>8.27</v>
      </c>
      <c r="Q7" t="s">
        <v>46</v>
      </c>
      <c r="R7" t="s">
        <v>52</v>
      </c>
      <c r="S7" t="s">
        <v>53</v>
      </c>
      <c r="T7" t="s">
        <v>46</v>
      </c>
      <c r="U7" t="s">
        <v>54</v>
      </c>
      <c r="V7" t="s">
        <v>55</v>
      </c>
      <c r="W7" t="s">
        <v>173</v>
      </c>
      <c r="X7" t="s">
        <v>174</v>
      </c>
      <c r="Y7">
        <v>1.78</v>
      </c>
      <c r="Z7" t="s">
        <v>46</v>
      </c>
      <c r="AA7" t="s">
        <v>58</v>
      </c>
      <c r="AB7" t="s">
        <v>59</v>
      </c>
      <c r="AC7">
        <v>283</v>
      </c>
      <c r="AD7" t="s">
        <v>46</v>
      </c>
      <c r="AE7" t="s">
        <v>60</v>
      </c>
      <c r="AF7" t="s">
        <v>45</v>
      </c>
      <c r="AG7" t="s">
        <v>46</v>
      </c>
      <c r="AH7" t="s">
        <v>61</v>
      </c>
      <c r="AI7" t="s">
        <v>48</v>
      </c>
      <c r="AJ7" t="s">
        <v>62</v>
      </c>
      <c r="AK7" t="s">
        <v>63</v>
      </c>
      <c r="AL7" t="s">
        <v>64</v>
      </c>
      <c r="AM7" t="s">
        <v>46</v>
      </c>
      <c r="AN7" t="s">
        <v>60</v>
      </c>
      <c r="AO7" t="s">
        <v>62</v>
      </c>
      <c r="AP7" t="s">
        <v>175</v>
      </c>
      <c r="AQ7" t="s">
        <v>66</v>
      </c>
      <c r="AR7" t="s">
        <v>67</v>
      </c>
    </row>
    <row r="8" spans="1:44">
      <c r="A8" s="1">
        <v>45427</v>
      </c>
      <c r="B8" s="2">
        <v>0.22868055555555555</v>
      </c>
      <c r="C8" t="s">
        <v>44</v>
      </c>
      <c r="D8" t="s">
        <v>45</v>
      </c>
      <c r="E8">
        <v>0.156</v>
      </c>
      <c r="F8" t="s">
        <v>46</v>
      </c>
      <c r="G8" t="s">
        <v>47</v>
      </c>
      <c r="H8" t="s">
        <v>45</v>
      </c>
      <c r="I8">
        <v>0.255</v>
      </c>
      <c r="J8" t="s">
        <v>46</v>
      </c>
      <c r="K8" t="s">
        <v>48</v>
      </c>
      <c r="L8" t="s">
        <v>49</v>
      </c>
      <c r="M8" t="s">
        <v>50</v>
      </c>
      <c r="N8" t="s">
        <v>51</v>
      </c>
      <c r="O8">
        <v>3.45</v>
      </c>
      <c r="P8">
        <v>8.27</v>
      </c>
      <c r="Q8" t="s">
        <v>46</v>
      </c>
      <c r="R8" t="s">
        <v>52</v>
      </c>
      <c r="S8" t="s">
        <v>53</v>
      </c>
      <c r="T8" t="s">
        <v>46</v>
      </c>
      <c r="U8" t="s">
        <v>54</v>
      </c>
      <c r="V8" t="s">
        <v>55</v>
      </c>
      <c r="W8" t="s">
        <v>176</v>
      </c>
      <c r="X8" t="s">
        <v>168</v>
      </c>
      <c r="Y8">
        <v>1.77</v>
      </c>
      <c r="Z8" t="s">
        <v>46</v>
      </c>
      <c r="AA8" t="s">
        <v>58</v>
      </c>
      <c r="AB8" t="s">
        <v>59</v>
      </c>
      <c r="AC8">
        <v>283</v>
      </c>
      <c r="AD8" t="s">
        <v>46</v>
      </c>
      <c r="AE8" t="s">
        <v>60</v>
      </c>
      <c r="AF8" t="s">
        <v>45</v>
      </c>
      <c r="AG8" t="s">
        <v>46</v>
      </c>
      <c r="AH8" t="s">
        <v>61</v>
      </c>
      <c r="AI8" t="s">
        <v>48</v>
      </c>
      <c r="AJ8" t="s">
        <v>62</v>
      </c>
      <c r="AK8" t="s">
        <v>63</v>
      </c>
      <c r="AL8" t="s">
        <v>64</v>
      </c>
      <c r="AM8" t="s">
        <v>46</v>
      </c>
      <c r="AN8" t="s">
        <v>60</v>
      </c>
      <c r="AO8" t="s">
        <v>62</v>
      </c>
      <c r="AP8" t="s">
        <v>177</v>
      </c>
      <c r="AQ8" t="s">
        <v>66</v>
      </c>
      <c r="AR8" t="s">
        <v>67</v>
      </c>
    </row>
    <row r="9" spans="1:44">
      <c r="A9" s="1">
        <v>45427</v>
      </c>
      <c r="B9" s="2">
        <v>0.22873842592592591</v>
      </c>
      <c r="C9" t="s">
        <v>44</v>
      </c>
      <c r="D9" t="s">
        <v>45</v>
      </c>
      <c r="E9">
        <v>0.375</v>
      </c>
      <c r="F9" t="s">
        <v>46</v>
      </c>
      <c r="G9" t="s">
        <v>47</v>
      </c>
      <c r="H9" t="s">
        <v>45</v>
      </c>
      <c r="I9">
        <v>0.255</v>
      </c>
      <c r="J9" t="s">
        <v>46</v>
      </c>
      <c r="K9" t="s">
        <v>48</v>
      </c>
      <c r="L9" t="s">
        <v>49</v>
      </c>
      <c r="M9" t="s">
        <v>50</v>
      </c>
      <c r="N9" t="s">
        <v>51</v>
      </c>
      <c r="O9">
        <v>3.45</v>
      </c>
      <c r="P9">
        <v>8.27</v>
      </c>
      <c r="Q9" t="s">
        <v>46</v>
      </c>
      <c r="R9" t="s">
        <v>52</v>
      </c>
      <c r="S9" t="s">
        <v>53</v>
      </c>
      <c r="T9" t="s">
        <v>46</v>
      </c>
      <c r="U9" t="s">
        <v>54</v>
      </c>
      <c r="V9" t="s">
        <v>55</v>
      </c>
      <c r="W9" t="s">
        <v>178</v>
      </c>
      <c r="X9" t="s">
        <v>179</v>
      </c>
      <c r="Y9">
        <v>1.76</v>
      </c>
      <c r="Z9" t="s">
        <v>46</v>
      </c>
      <c r="AA9" t="s">
        <v>58</v>
      </c>
      <c r="AB9" t="s">
        <v>59</v>
      </c>
      <c r="AC9">
        <v>283</v>
      </c>
      <c r="AD9" t="s">
        <v>46</v>
      </c>
      <c r="AE9" t="s">
        <v>60</v>
      </c>
      <c r="AF9" t="s">
        <v>45</v>
      </c>
      <c r="AG9" t="s">
        <v>46</v>
      </c>
      <c r="AH9" t="s">
        <v>61</v>
      </c>
      <c r="AI9" t="s">
        <v>48</v>
      </c>
      <c r="AJ9" t="s">
        <v>62</v>
      </c>
      <c r="AK9" t="s">
        <v>63</v>
      </c>
      <c r="AL9" t="s">
        <v>64</v>
      </c>
      <c r="AM9" t="s">
        <v>46</v>
      </c>
      <c r="AN9" t="s">
        <v>60</v>
      </c>
      <c r="AO9" t="s">
        <v>62</v>
      </c>
      <c r="AP9" t="s">
        <v>180</v>
      </c>
      <c r="AQ9" t="s">
        <v>66</v>
      </c>
      <c r="AR9" t="s">
        <v>67</v>
      </c>
    </row>
    <row r="10" spans="1:44">
      <c r="A10" s="1">
        <v>45427</v>
      </c>
      <c r="B10" s="2">
        <v>0.22878472222222221</v>
      </c>
      <c r="C10" t="s">
        <v>44</v>
      </c>
      <c r="D10" t="s">
        <v>45</v>
      </c>
      <c r="E10">
        <v>0.25700000000000001</v>
      </c>
      <c r="F10" t="s">
        <v>46</v>
      </c>
      <c r="G10" t="s">
        <v>47</v>
      </c>
      <c r="H10" t="s">
        <v>45</v>
      </c>
      <c r="I10">
        <v>0.25509999999999999</v>
      </c>
      <c r="J10" t="s">
        <v>46</v>
      </c>
      <c r="K10" t="s">
        <v>48</v>
      </c>
      <c r="L10" t="s">
        <v>49</v>
      </c>
      <c r="M10" t="s">
        <v>50</v>
      </c>
      <c r="N10" t="s">
        <v>51</v>
      </c>
      <c r="O10">
        <v>3.45</v>
      </c>
      <c r="P10">
        <v>8.27</v>
      </c>
      <c r="Q10" t="s">
        <v>46</v>
      </c>
      <c r="R10" t="s">
        <v>52</v>
      </c>
      <c r="S10" t="s">
        <v>53</v>
      </c>
      <c r="T10" t="s">
        <v>46</v>
      </c>
      <c r="U10" t="s">
        <v>54</v>
      </c>
      <c r="V10" t="s">
        <v>55</v>
      </c>
      <c r="W10" t="s">
        <v>181</v>
      </c>
      <c r="X10" t="s">
        <v>132</v>
      </c>
      <c r="Y10">
        <v>1.75</v>
      </c>
      <c r="Z10" t="s">
        <v>46</v>
      </c>
      <c r="AA10" t="s">
        <v>58</v>
      </c>
      <c r="AB10" t="s">
        <v>59</v>
      </c>
      <c r="AC10">
        <v>283</v>
      </c>
      <c r="AD10" t="s">
        <v>46</v>
      </c>
      <c r="AE10" t="s">
        <v>60</v>
      </c>
      <c r="AF10" t="s">
        <v>45</v>
      </c>
      <c r="AG10" t="s">
        <v>46</v>
      </c>
      <c r="AH10" t="s">
        <v>61</v>
      </c>
      <c r="AI10" t="s">
        <v>48</v>
      </c>
      <c r="AJ10" t="s">
        <v>62</v>
      </c>
      <c r="AK10" t="s">
        <v>63</v>
      </c>
      <c r="AL10" t="s">
        <v>64</v>
      </c>
      <c r="AM10" t="s">
        <v>46</v>
      </c>
      <c r="AN10" t="s">
        <v>60</v>
      </c>
      <c r="AO10" t="s">
        <v>62</v>
      </c>
      <c r="AP10" t="s">
        <v>182</v>
      </c>
      <c r="AQ10" t="s">
        <v>66</v>
      </c>
      <c r="AR10" t="s">
        <v>67</v>
      </c>
    </row>
    <row r="11" spans="1:44">
      <c r="A11" s="1">
        <v>45427</v>
      </c>
      <c r="B11" s="2">
        <v>0.22883101851851853</v>
      </c>
      <c r="C11" t="s">
        <v>44</v>
      </c>
      <c r="D11" t="s">
        <v>45</v>
      </c>
      <c r="E11">
        <v>0.129</v>
      </c>
      <c r="F11" t="s">
        <v>46</v>
      </c>
      <c r="G11" t="s">
        <v>47</v>
      </c>
      <c r="H11" t="s">
        <v>45</v>
      </c>
      <c r="I11">
        <v>0.25519999999999998</v>
      </c>
      <c r="J11" t="s">
        <v>46</v>
      </c>
      <c r="K11" t="s">
        <v>48</v>
      </c>
      <c r="L11" t="s">
        <v>49</v>
      </c>
      <c r="M11" t="s">
        <v>50</v>
      </c>
      <c r="N11" t="s">
        <v>51</v>
      </c>
      <c r="O11">
        <v>3.45</v>
      </c>
      <c r="P11">
        <v>8.27</v>
      </c>
      <c r="Q11" t="s">
        <v>46</v>
      </c>
      <c r="R11" t="s">
        <v>52</v>
      </c>
      <c r="S11" t="s">
        <v>53</v>
      </c>
      <c r="T11" t="s">
        <v>46</v>
      </c>
      <c r="U11" t="s">
        <v>54</v>
      </c>
      <c r="V11" t="s">
        <v>55</v>
      </c>
      <c r="W11" t="s">
        <v>181</v>
      </c>
      <c r="X11" t="s">
        <v>132</v>
      </c>
      <c r="Y11">
        <v>1.75</v>
      </c>
      <c r="Z11" t="s">
        <v>46</v>
      </c>
      <c r="AA11" t="s">
        <v>58</v>
      </c>
      <c r="AB11" t="s">
        <v>59</v>
      </c>
      <c r="AC11">
        <v>283</v>
      </c>
      <c r="AD11" t="s">
        <v>46</v>
      </c>
      <c r="AE11" t="s">
        <v>60</v>
      </c>
      <c r="AF11" t="s">
        <v>45</v>
      </c>
      <c r="AG11" t="s">
        <v>46</v>
      </c>
      <c r="AH11" t="s">
        <v>61</v>
      </c>
      <c r="AI11" t="s">
        <v>48</v>
      </c>
      <c r="AJ11" t="s">
        <v>62</v>
      </c>
      <c r="AK11" t="s">
        <v>63</v>
      </c>
      <c r="AL11" t="s">
        <v>64</v>
      </c>
      <c r="AM11" t="s">
        <v>46</v>
      </c>
      <c r="AN11" t="s">
        <v>60</v>
      </c>
      <c r="AO11" t="s">
        <v>62</v>
      </c>
      <c r="AP11" t="s">
        <v>183</v>
      </c>
      <c r="AQ11" t="s">
        <v>66</v>
      </c>
      <c r="AR11" t="s">
        <v>67</v>
      </c>
    </row>
    <row r="12" spans="1:44">
      <c r="A12" s="1">
        <v>45427</v>
      </c>
      <c r="B12" s="2">
        <v>0.22887731481481483</v>
      </c>
      <c r="C12" t="s">
        <v>44</v>
      </c>
      <c r="D12" t="s">
        <v>45</v>
      </c>
      <c r="E12">
        <v>0.34399999999999997</v>
      </c>
      <c r="F12" t="s">
        <v>46</v>
      </c>
      <c r="G12" t="s">
        <v>47</v>
      </c>
      <c r="H12" t="s">
        <v>45</v>
      </c>
      <c r="I12">
        <v>0.25519999999999998</v>
      </c>
      <c r="J12" t="s">
        <v>46</v>
      </c>
      <c r="K12" t="s">
        <v>48</v>
      </c>
      <c r="L12" t="s">
        <v>49</v>
      </c>
      <c r="M12" t="s">
        <v>50</v>
      </c>
      <c r="N12" t="s">
        <v>51</v>
      </c>
      <c r="O12">
        <v>3.45</v>
      </c>
      <c r="P12">
        <v>8.27</v>
      </c>
      <c r="Q12" t="s">
        <v>46</v>
      </c>
      <c r="R12" t="s">
        <v>52</v>
      </c>
      <c r="S12" t="s">
        <v>53</v>
      </c>
      <c r="T12" t="s">
        <v>46</v>
      </c>
      <c r="U12" t="s">
        <v>54</v>
      </c>
      <c r="V12" t="s">
        <v>55</v>
      </c>
      <c r="W12" t="s">
        <v>184</v>
      </c>
      <c r="X12" t="s">
        <v>56</v>
      </c>
      <c r="Y12">
        <v>1.74</v>
      </c>
      <c r="Z12" t="s">
        <v>46</v>
      </c>
      <c r="AA12" t="s">
        <v>58</v>
      </c>
      <c r="AB12" t="s">
        <v>59</v>
      </c>
      <c r="AC12">
        <v>283</v>
      </c>
      <c r="AD12" t="s">
        <v>46</v>
      </c>
      <c r="AE12" t="s">
        <v>60</v>
      </c>
      <c r="AF12" t="s">
        <v>45</v>
      </c>
      <c r="AG12" t="s">
        <v>46</v>
      </c>
      <c r="AH12" t="s">
        <v>61</v>
      </c>
      <c r="AI12" t="s">
        <v>48</v>
      </c>
      <c r="AJ12" t="s">
        <v>62</v>
      </c>
      <c r="AK12" t="s">
        <v>63</v>
      </c>
      <c r="AL12" t="s">
        <v>64</v>
      </c>
      <c r="AM12" t="s">
        <v>46</v>
      </c>
      <c r="AN12" t="s">
        <v>60</v>
      </c>
      <c r="AO12" t="s">
        <v>62</v>
      </c>
      <c r="AP12" t="s">
        <v>185</v>
      </c>
      <c r="AQ12" t="s">
        <v>66</v>
      </c>
      <c r="AR12" t="s">
        <v>67</v>
      </c>
    </row>
    <row r="13" spans="1:44">
      <c r="A13" s="1">
        <v>45427</v>
      </c>
      <c r="B13" s="2">
        <v>0.22892361111111112</v>
      </c>
      <c r="C13" t="s">
        <v>44</v>
      </c>
      <c r="D13" t="s">
        <v>45</v>
      </c>
      <c r="E13">
        <v>0.156</v>
      </c>
      <c r="F13" t="s">
        <v>46</v>
      </c>
      <c r="G13" t="s">
        <v>47</v>
      </c>
      <c r="H13" t="s">
        <v>45</v>
      </c>
      <c r="I13">
        <v>0.25519999999999998</v>
      </c>
      <c r="J13" t="s">
        <v>46</v>
      </c>
      <c r="K13" t="s">
        <v>48</v>
      </c>
      <c r="L13" t="s">
        <v>49</v>
      </c>
      <c r="M13" t="s">
        <v>50</v>
      </c>
      <c r="N13" t="s">
        <v>51</v>
      </c>
      <c r="O13">
        <v>3.45</v>
      </c>
      <c r="P13">
        <v>8.27</v>
      </c>
      <c r="Q13" t="s">
        <v>46</v>
      </c>
      <c r="R13" t="s">
        <v>52</v>
      </c>
      <c r="S13" t="s">
        <v>53</v>
      </c>
      <c r="T13" t="s">
        <v>46</v>
      </c>
      <c r="U13" t="s">
        <v>54</v>
      </c>
      <c r="V13" t="s">
        <v>55</v>
      </c>
      <c r="W13" t="s">
        <v>179</v>
      </c>
      <c r="X13" t="s">
        <v>186</v>
      </c>
      <c r="Y13">
        <v>1.8</v>
      </c>
      <c r="Z13" t="s">
        <v>46</v>
      </c>
      <c r="AA13" t="s">
        <v>58</v>
      </c>
      <c r="AB13" t="s">
        <v>59</v>
      </c>
      <c r="AC13">
        <v>283</v>
      </c>
      <c r="AD13" t="s">
        <v>46</v>
      </c>
      <c r="AE13" t="s">
        <v>60</v>
      </c>
      <c r="AF13" t="s">
        <v>45</v>
      </c>
      <c r="AG13" t="s">
        <v>46</v>
      </c>
      <c r="AH13" t="s">
        <v>61</v>
      </c>
      <c r="AI13" t="s">
        <v>48</v>
      </c>
      <c r="AJ13" t="s">
        <v>62</v>
      </c>
      <c r="AK13" t="s">
        <v>63</v>
      </c>
      <c r="AL13" t="s">
        <v>64</v>
      </c>
      <c r="AM13" t="s">
        <v>46</v>
      </c>
      <c r="AN13" t="s">
        <v>60</v>
      </c>
      <c r="AO13" t="s">
        <v>62</v>
      </c>
      <c r="AP13" t="s">
        <v>187</v>
      </c>
      <c r="AQ13" t="s">
        <v>66</v>
      </c>
      <c r="AR13" t="s">
        <v>67</v>
      </c>
    </row>
    <row r="14" spans="1:44">
      <c r="A14" s="1">
        <v>45427</v>
      </c>
      <c r="B14" s="2">
        <v>0.22898148148148148</v>
      </c>
      <c r="C14" t="s">
        <v>44</v>
      </c>
      <c r="D14" t="s">
        <v>45</v>
      </c>
      <c r="E14">
        <v>0.182</v>
      </c>
      <c r="F14" t="s">
        <v>46</v>
      </c>
      <c r="G14" t="s">
        <v>47</v>
      </c>
      <c r="H14" t="s">
        <v>45</v>
      </c>
      <c r="I14">
        <v>0.25519999999999998</v>
      </c>
      <c r="J14" t="s">
        <v>46</v>
      </c>
      <c r="K14" t="s">
        <v>48</v>
      </c>
      <c r="L14" t="s">
        <v>49</v>
      </c>
      <c r="M14" t="s">
        <v>50</v>
      </c>
      <c r="N14" t="s">
        <v>51</v>
      </c>
      <c r="O14">
        <v>3.45</v>
      </c>
      <c r="P14">
        <v>8.27</v>
      </c>
      <c r="Q14" t="s">
        <v>46</v>
      </c>
      <c r="R14" t="s">
        <v>52</v>
      </c>
      <c r="S14" t="s">
        <v>53</v>
      </c>
      <c r="T14" t="s">
        <v>46</v>
      </c>
      <c r="U14" t="s">
        <v>54</v>
      </c>
      <c r="V14" t="s">
        <v>55</v>
      </c>
      <c r="W14" t="s">
        <v>188</v>
      </c>
      <c r="X14" t="s">
        <v>189</v>
      </c>
      <c r="Y14">
        <v>1.79</v>
      </c>
      <c r="Z14" t="s">
        <v>46</v>
      </c>
      <c r="AA14" t="s">
        <v>58</v>
      </c>
      <c r="AB14" t="s">
        <v>59</v>
      </c>
      <c r="AC14">
        <v>283</v>
      </c>
      <c r="AD14" t="s">
        <v>46</v>
      </c>
      <c r="AE14" t="s">
        <v>60</v>
      </c>
      <c r="AF14" t="s">
        <v>45</v>
      </c>
      <c r="AG14" t="s">
        <v>46</v>
      </c>
      <c r="AH14" t="s">
        <v>61</v>
      </c>
      <c r="AI14" t="s">
        <v>48</v>
      </c>
      <c r="AJ14" t="s">
        <v>62</v>
      </c>
      <c r="AK14" t="s">
        <v>63</v>
      </c>
      <c r="AL14" t="s">
        <v>64</v>
      </c>
      <c r="AM14" t="s">
        <v>46</v>
      </c>
      <c r="AN14" t="s">
        <v>60</v>
      </c>
      <c r="AO14" t="s">
        <v>62</v>
      </c>
      <c r="AP14" t="s">
        <v>190</v>
      </c>
      <c r="AQ14" t="s">
        <v>66</v>
      </c>
      <c r="AR14" t="s">
        <v>67</v>
      </c>
    </row>
    <row r="15" spans="1:44">
      <c r="A15" s="1">
        <v>45427</v>
      </c>
      <c r="B15" s="2">
        <v>0.22902777777777777</v>
      </c>
      <c r="C15" t="s">
        <v>44</v>
      </c>
      <c r="D15" t="s">
        <v>45</v>
      </c>
      <c r="E15">
        <v>0.38200000000000001</v>
      </c>
      <c r="F15" t="s">
        <v>46</v>
      </c>
      <c r="G15" t="s">
        <v>47</v>
      </c>
      <c r="H15" t="s">
        <v>45</v>
      </c>
      <c r="I15">
        <v>0.25509999999999999</v>
      </c>
      <c r="J15" t="s">
        <v>46</v>
      </c>
      <c r="K15" t="s">
        <v>48</v>
      </c>
      <c r="L15" t="s">
        <v>49</v>
      </c>
      <c r="M15" t="s">
        <v>50</v>
      </c>
      <c r="N15" t="s">
        <v>51</v>
      </c>
      <c r="O15">
        <v>3.45</v>
      </c>
      <c r="P15">
        <v>8.27</v>
      </c>
      <c r="Q15" t="s">
        <v>46</v>
      </c>
      <c r="R15" t="s">
        <v>52</v>
      </c>
      <c r="S15" t="s">
        <v>53</v>
      </c>
      <c r="T15" t="s">
        <v>46</v>
      </c>
      <c r="U15" t="s">
        <v>54</v>
      </c>
      <c r="V15" t="s">
        <v>55</v>
      </c>
      <c r="W15" t="s">
        <v>112</v>
      </c>
      <c r="X15" t="s">
        <v>162</v>
      </c>
      <c r="Y15">
        <v>1.78</v>
      </c>
      <c r="Z15" t="s">
        <v>46</v>
      </c>
      <c r="AA15" t="s">
        <v>58</v>
      </c>
      <c r="AB15" t="s">
        <v>59</v>
      </c>
      <c r="AC15">
        <v>283</v>
      </c>
      <c r="AD15" t="s">
        <v>46</v>
      </c>
      <c r="AE15" t="s">
        <v>60</v>
      </c>
      <c r="AF15" t="s">
        <v>45</v>
      </c>
      <c r="AG15" t="s">
        <v>46</v>
      </c>
      <c r="AH15" t="s">
        <v>61</v>
      </c>
      <c r="AI15" t="s">
        <v>48</v>
      </c>
      <c r="AJ15" t="s">
        <v>62</v>
      </c>
      <c r="AK15" t="s">
        <v>63</v>
      </c>
      <c r="AL15" t="s">
        <v>64</v>
      </c>
      <c r="AM15" t="s">
        <v>46</v>
      </c>
      <c r="AN15" t="s">
        <v>60</v>
      </c>
      <c r="AO15" t="s">
        <v>62</v>
      </c>
      <c r="AP15" t="s">
        <v>191</v>
      </c>
      <c r="AQ15" t="s">
        <v>66</v>
      </c>
      <c r="AR15" t="s">
        <v>67</v>
      </c>
    </row>
    <row r="16" spans="1:44">
      <c r="A16" s="1">
        <v>45427</v>
      </c>
      <c r="B16" s="2">
        <v>0.22907407407407407</v>
      </c>
      <c r="C16" t="s">
        <v>44</v>
      </c>
      <c r="D16" t="s">
        <v>45</v>
      </c>
      <c r="E16">
        <v>0.129</v>
      </c>
      <c r="F16" t="s">
        <v>46</v>
      </c>
      <c r="G16" t="s">
        <v>47</v>
      </c>
      <c r="H16" t="s">
        <v>45</v>
      </c>
      <c r="I16">
        <v>0.25509999999999999</v>
      </c>
      <c r="J16" t="s">
        <v>46</v>
      </c>
      <c r="K16" t="s">
        <v>48</v>
      </c>
      <c r="L16" t="s">
        <v>49</v>
      </c>
      <c r="M16" t="s">
        <v>50</v>
      </c>
      <c r="N16" t="s">
        <v>51</v>
      </c>
      <c r="O16">
        <v>3.45</v>
      </c>
      <c r="P16">
        <v>8.27</v>
      </c>
      <c r="Q16" t="s">
        <v>46</v>
      </c>
      <c r="R16" t="s">
        <v>52</v>
      </c>
      <c r="S16" t="s">
        <v>53</v>
      </c>
      <c r="T16" t="s">
        <v>46</v>
      </c>
      <c r="U16" t="s">
        <v>54</v>
      </c>
      <c r="V16" t="s">
        <v>55</v>
      </c>
      <c r="W16" t="s">
        <v>192</v>
      </c>
      <c r="X16" t="s">
        <v>193</v>
      </c>
      <c r="Y16">
        <v>1.78</v>
      </c>
      <c r="Z16" t="s">
        <v>46</v>
      </c>
      <c r="AA16" t="s">
        <v>58</v>
      </c>
      <c r="AB16" t="s">
        <v>59</v>
      </c>
      <c r="AC16">
        <v>283</v>
      </c>
      <c r="AD16" t="s">
        <v>46</v>
      </c>
      <c r="AE16" t="s">
        <v>60</v>
      </c>
      <c r="AF16" t="s">
        <v>45</v>
      </c>
      <c r="AG16" t="s">
        <v>46</v>
      </c>
      <c r="AH16" t="s">
        <v>61</v>
      </c>
      <c r="AI16" t="s">
        <v>48</v>
      </c>
      <c r="AJ16" t="s">
        <v>62</v>
      </c>
      <c r="AK16" t="s">
        <v>63</v>
      </c>
      <c r="AL16" t="s">
        <v>64</v>
      </c>
      <c r="AM16" t="s">
        <v>46</v>
      </c>
      <c r="AN16" t="s">
        <v>60</v>
      </c>
      <c r="AO16" t="s">
        <v>62</v>
      </c>
      <c r="AP16" t="s">
        <v>194</v>
      </c>
      <c r="AQ16" t="s">
        <v>66</v>
      </c>
      <c r="AR16" t="s">
        <v>67</v>
      </c>
    </row>
    <row r="17" spans="1:44">
      <c r="A17" s="1">
        <v>45427</v>
      </c>
      <c r="B17" s="2">
        <v>0.22912037037037036</v>
      </c>
      <c r="C17" t="s">
        <v>44</v>
      </c>
      <c r="D17" t="s">
        <v>45</v>
      </c>
      <c r="E17">
        <v>0.188</v>
      </c>
      <c r="F17" t="s">
        <v>46</v>
      </c>
      <c r="G17" t="s">
        <v>47</v>
      </c>
      <c r="H17" t="s">
        <v>45</v>
      </c>
      <c r="I17">
        <v>0.25509999999999999</v>
      </c>
      <c r="J17" t="s">
        <v>46</v>
      </c>
      <c r="K17" t="s">
        <v>48</v>
      </c>
      <c r="L17" t="s">
        <v>49</v>
      </c>
      <c r="M17" t="s">
        <v>50</v>
      </c>
      <c r="N17" t="s">
        <v>51</v>
      </c>
      <c r="O17">
        <v>3.45</v>
      </c>
      <c r="P17">
        <v>8.27</v>
      </c>
      <c r="Q17" t="s">
        <v>46</v>
      </c>
      <c r="R17" t="s">
        <v>52</v>
      </c>
      <c r="S17" t="s">
        <v>53</v>
      </c>
      <c r="T17" t="s">
        <v>46</v>
      </c>
      <c r="U17" t="s">
        <v>54</v>
      </c>
      <c r="V17" t="s">
        <v>55</v>
      </c>
      <c r="W17" t="s">
        <v>195</v>
      </c>
      <c r="X17" t="s">
        <v>162</v>
      </c>
      <c r="Y17">
        <v>1.77</v>
      </c>
      <c r="Z17" t="s">
        <v>46</v>
      </c>
      <c r="AA17" t="s">
        <v>58</v>
      </c>
      <c r="AB17" t="s">
        <v>59</v>
      </c>
      <c r="AC17">
        <v>283</v>
      </c>
      <c r="AD17" t="s">
        <v>46</v>
      </c>
      <c r="AE17" t="s">
        <v>60</v>
      </c>
      <c r="AF17" t="s">
        <v>45</v>
      </c>
      <c r="AG17" t="s">
        <v>46</v>
      </c>
      <c r="AH17" t="s">
        <v>61</v>
      </c>
      <c r="AI17" t="s">
        <v>48</v>
      </c>
      <c r="AJ17" t="s">
        <v>62</v>
      </c>
      <c r="AK17" t="s">
        <v>63</v>
      </c>
      <c r="AL17" t="s">
        <v>64</v>
      </c>
      <c r="AM17" t="s">
        <v>46</v>
      </c>
      <c r="AN17" t="s">
        <v>60</v>
      </c>
      <c r="AO17" t="s">
        <v>62</v>
      </c>
      <c r="AP17" t="s">
        <v>196</v>
      </c>
      <c r="AQ17" t="s">
        <v>66</v>
      </c>
      <c r="AR17" t="s">
        <v>67</v>
      </c>
    </row>
    <row r="18" spans="1:44">
      <c r="A18" s="1">
        <v>45427</v>
      </c>
      <c r="B18" s="2">
        <v>0.22917824074074075</v>
      </c>
      <c r="C18" t="s">
        <v>44</v>
      </c>
      <c r="D18" t="s">
        <v>45</v>
      </c>
      <c r="E18">
        <v>0.41199999999999998</v>
      </c>
      <c r="F18" t="s">
        <v>46</v>
      </c>
      <c r="G18" t="s">
        <v>47</v>
      </c>
      <c r="H18" t="s">
        <v>45</v>
      </c>
      <c r="I18">
        <v>0.25540000000000002</v>
      </c>
      <c r="J18" t="s">
        <v>46</v>
      </c>
      <c r="K18" t="s">
        <v>48</v>
      </c>
      <c r="L18" t="s">
        <v>49</v>
      </c>
      <c r="M18" t="s">
        <v>50</v>
      </c>
      <c r="N18" t="s">
        <v>51</v>
      </c>
      <c r="O18">
        <v>3.45</v>
      </c>
      <c r="P18">
        <v>8.27</v>
      </c>
      <c r="Q18" t="s">
        <v>46</v>
      </c>
      <c r="R18" t="s">
        <v>52</v>
      </c>
      <c r="S18" t="s">
        <v>53</v>
      </c>
      <c r="T18" t="s">
        <v>46</v>
      </c>
      <c r="U18" t="s">
        <v>54</v>
      </c>
      <c r="V18" t="s">
        <v>55</v>
      </c>
      <c r="W18" t="s">
        <v>195</v>
      </c>
      <c r="X18" t="s">
        <v>162</v>
      </c>
      <c r="Y18">
        <v>1.77</v>
      </c>
      <c r="Z18" t="s">
        <v>46</v>
      </c>
      <c r="AA18" t="s">
        <v>58</v>
      </c>
      <c r="AB18" t="s">
        <v>59</v>
      </c>
      <c r="AC18">
        <v>283</v>
      </c>
      <c r="AD18" t="s">
        <v>46</v>
      </c>
      <c r="AE18" t="s">
        <v>60</v>
      </c>
      <c r="AF18" t="s">
        <v>45</v>
      </c>
      <c r="AG18" t="s">
        <v>46</v>
      </c>
      <c r="AH18" t="s">
        <v>61</v>
      </c>
      <c r="AI18" t="s">
        <v>48</v>
      </c>
      <c r="AJ18" t="s">
        <v>62</v>
      </c>
      <c r="AK18" t="s">
        <v>63</v>
      </c>
      <c r="AL18" t="s">
        <v>64</v>
      </c>
      <c r="AM18" t="s">
        <v>46</v>
      </c>
      <c r="AN18" t="s">
        <v>60</v>
      </c>
      <c r="AO18" t="s">
        <v>62</v>
      </c>
      <c r="AP18" t="s">
        <v>197</v>
      </c>
      <c r="AQ18" t="s">
        <v>66</v>
      </c>
      <c r="AR18" t="s">
        <v>67</v>
      </c>
    </row>
    <row r="19" spans="1:44">
      <c r="A19" s="1">
        <v>45427</v>
      </c>
      <c r="B19" s="2">
        <v>0.22922453703703705</v>
      </c>
      <c r="C19" t="s">
        <v>44</v>
      </c>
      <c r="D19" t="s">
        <v>45</v>
      </c>
      <c r="E19">
        <v>0.21199999999999999</v>
      </c>
      <c r="F19" t="s">
        <v>46</v>
      </c>
      <c r="G19" t="s">
        <v>47</v>
      </c>
      <c r="H19" t="s">
        <v>45</v>
      </c>
      <c r="I19">
        <v>0.2555</v>
      </c>
      <c r="J19" t="s">
        <v>46</v>
      </c>
      <c r="K19" t="s">
        <v>48</v>
      </c>
      <c r="L19" t="s">
        <v>49</v>
      </c>
      <c r="M19" t="s">
        <v>50</v>
      </c>
      <c r="N19" t="s">
        <v>51</v>
      </c>
      <c r="O19">
        <v>3.45</v>
      </c>
      <c r="P19">
        <v>8.27</v>
      </c>
      <c r="Q19" t="s">
        <v>46</v>
      </c>
      <c r="R19" t="s">
        <v>52</v>
      </c>
      <c r="S19" t="s">
        <v>53</v>
      </c>
      <c r="T19" t="s">
        <v>46</v>
      </c>
      <c r="U19" t="s">
        <v>54</v>
      </c>
      <c r="V19" t="s">
        <v>55</v>
      </c>
      <c r="W19" t="s">
        <v>198</v>
      </c>
      <c r="X19" t="s">
        <v>165</v>
      </c>
      <c r="Y19">
        <v>1.76</v>
      </c>
      <c r="Z19" t="s">
        <v>46</v>
      </c>
      <c r="AA19" t="s">
        <v>58</v>
      </c>
      <c r="AB19" t="s">
        <v>59</v>
      </c>
      <c r="AC19">
        <v>283</v>
      </c>
      <c r="AD19" t="s">
        <v>46</v>
      </c>
      <c r="AE19" t="s">
        <v>60</v>
      </c>
      <c r="AF19" t="s">
        <v>45</v>
      </c>
      <c r="AG19" t="s">
        <v>46</v>
      </c>
      <c r="AH19" t="s">
        <v>61</v>
      </c>
      <c r="AI19" t="s">
        <v>48</v>
      </c>
      <c r="AJ19" t="s">
        <v>62</v>
      </c>
      <c r="AK19" t="s">
        <v>63</v>
      </c>
      <c r="AL19" t="s">
        <v>64</v>
      </c>
      <c r="AM19" t="s">
        <v>46</v>
      </c>
      <c r="AN19" t="s">
        <v>60</v>
      </c>
      <c r="AO19" t="s">
        <v>62</v>
      </c>
      <c r="AP19" t="s">
        <v>199</v>
      </c>
      <c r="AQ19" t="s">
        <v>66</v>
      </c>
      <c r="AR19" t="s">
        <v>67</v>
      </c>
    </row>
    <row r="20" spans="1:44">
      <c r="A20" s="1">
        <v>45427</v>
      </c>
      <c r="B20" s="2">
        <v>0.22927083333333334</v>
      </c>
      <c r="C20" t="s">
        <v>44</v>
      </c>
      <c r="D20" t="s">
        <v>45</v>
      </c>
      <c r="E20">
        <v>0.129</v>
      </c>
      <c r="F20" t="s">
        <v>46</v>
      </c>
      <c r="G20" t="s">
        <v>47</v>
      </c>
      <c r="H20" t="s">
        <v>45</v>
      </c>
      <c r="I20">
        <v>0.25569999999999998</v>
      </c>
      <c r="J20" t="s">
        <v>46</v>
      </c>
      <c r="K20" t="s">
        <v>48</v>
      </c>
      <c r="L20" t="s">
        <v>49</v>
      </c>
      <c r="M20" t="s">
        <v>50</v>
      </c>
      <c r="N20" t="s">
        <v>51</v>
      </c>
      <c r="O20">
        <v>3.45</v>
      </c>
      <c r="P20">
        <v>8.27</v>
      </c>
      <c r="Q20" t="s">
        <v>46</v>
      </c>
      <c r="R20" t="s">
        <v>52</v>
      </c>
      <c r="S20" t="s">
        <v>53</v>
      </c>
      <c r="T20" t="s">
        <v>46</v>
      </c>
      <c r="U20" t="s">
        <v>54</v>
      </c>
      <c r="V20" t="s">
        <v>55</v>
      </c>
      <c r="W20" t="s">
        <v>92</v>
      </c>
      <c r="X20" t="s">
        <v>168</v>
      </c>
      <c r="Y20">
        <v>1.75</v>
      </c>
      <c r="Z20" t="s">
        <v>46</v>
      </c>
      <c r="AA20" t="s">
        <v>58</v>
      </c>
      <c r="AB20" t="s">
        <v>59</v>
      </c>
      <c r="AC20">
        <v>283</v>
      </c>
      <c r="AD20" t="s">
        <v>46</v>
      </c>
      <c r="AE20" t="s">
        <v>60</v>
      </c>
      <c r="AF20" t="s">
        <v>45</v>
      </c>
      <c r="AG20" t="s">
        <v>46</v>
      </c>
      <c r="AH20" t="s">
        <v>61</v>
      </c>
      <c r="AI20" t="s">
        <v>48</v>
      </c>
      <c r="AJ20" t="s">
        <v>62</v>
      </c>
      <c r="AK20" t="s">
        <v>63</v>
      </c>
      <c r="AL20" t="s">
        <v>64</v>
      </c>
      <c r="AM20" t="s">
        <v>46</v>
      </c>
      <c r="AN20" t="s">
        <v>60</v>
      </c>
      <c r="AO20" t="s">
        <v>62</v>
      </c>
      <c r="AP20" t="s">
        <v>200</v>
      </c>
      <c r="AQ20" t="s">
        <v>66</v>
      </c>
      <c r="AR20" t="s">
        <v>67</v>
      </c>
    </row>
    <row r="21" spans="1:44">
      <c r="A21" s="1">
        <v>45427</v>
      </c>
      <c r="B21" s="2">
        <v>0.22931712962962963</v>
      </c>
      <c r="C21" t="s">
        <v>44</v>
      </c>
      <c r="D21" t="s">
        <v>45</v>
      </c>
      <c r="E21">
        <v>0.81200000000000006</v>
      </c>
      <c r="F21" t="s">
        <v>46</v>
      </c>
      <c r="G21" t="s">
        <v>47</v>
      </c>
      <c r="H21" t="s">
        <v>45</v>
      </c>
      <c r="I21">
        <v>0.25569999999999998</v>
      </c>
      <c r="J21" t="s">
        <v>46</v>
      </c>
      <c r="K21" t="s">
        <v>48</v>
      </c>
      <c r="L21" t="s">
        <v>49</v>
      </c>
      <c r="M21" t="s">
        <v>50</v>
      </c>
      <c r="N21" t="s">
        <v>51</v>
      </c>
      <c r="O21">
        <v>3.45</v>
      </c>
      <c r="P21">
        <v>8.27</v>
      </c>
      <c r="Q21" t="s">
        <v>46</v>
      </c>
      <c r="R21" t="s">
        <v>52</v>
      </c>
      <c r="S21" t="s">
        <v>53</v>
      </c>
      <c r="T21" t="s">
        <v>46</v>
      </c>
      <c r="U21" t="s">
        <v>54</v>
      </c>
      <c r="V21" t="s">
        <v>55</v>
      </c>
      <c r="W21" t="s">
        <v>95</v>
      </c>
      <c r="X21" t="s">
        <v>146</v>
      </c>
      <c r="Y21">
        <v>1.75</v>
      </c>
      <c r="Z21" t="s">
        <v>46</v>
      </c>
      <c r="AA21" t="s">
        <v>58</v>
      </c>
      <c r="AB21" t="s">
        <v>59</v>
      </c>
      <c r="AC21">
        <v>284</v>
      </c>
      <c r="AD21" t="s">
        <v>46</v>
      </c>
      <c r="AE21" t="s">
        <v>60</v>
      </c>
      <c r="AF21" t="s">
        <v>45</v>
      </c>
      <c r="AG21" t="s">
        <v>46</v>
      </c>
      <c r="AH21" t="s">
        <v>61</v>
      </c>
      <c r="AI21" t="s">
        <v>48</v>
      </c>
      <c r="AJ21" t="s">
        <v>62</v>
      </c>
      <c r="AK21" t="s">
        <v>63</v>
      </c>
      <c r="AL21" t="s">
        <v>64</v>
      </c>
      <c r="AM21" t="s">
        <v>46</v>
      </c>
      <c r="AN21" t="s">
        <v>60</v>
      </c>
      <c r="AO21" t="s">
        <v>62</v>
      </c>
      <c r="AP21" t="s">
        <v>201</v>
      </c>
      <c r="AQ21" t="s">
        <v>66</v>
      </c>
      <c r="AR21" t="s">
        <v>67</v>
      </c>
    </row>
    <row r="22" spans="1:44">
      <c r="A22" s="1">
        <v>45427</v>
      </c>
      <c r="B22" s="2">
        <v>0.22936342592592593</v>
      </c>
      <c r="C22" t="s">
        <v>44</v>
      </c>
      <c r="D22" t="s">
        <v>45</v>
      </c>
      <c r="E22">
        <v>0.156</v>
      </c>
      <c r="F22" t="s">
        <v>46</v>
      </c>
      <c r="G22" t="s">
        <v>47</v>
      </c>
      <c r="H22" t="s">
        <v>45</v>
      </c>
      <c r="I22">
        <v>0.25580000000000003</v>
      </c>
      <c r="J22" t="s">
        <v>46</v>
      </c>
      <c r="K22" t="s">
        <v>48</v>
      </c>
      <c r="L22" t="s">
        <v>49</v>
      </c>
      <c r="M22" t="s">
        <v>50</v>
      </c>
      <c r="N22" t="s">
        <v>51</v>
      </c>
      <c r="O22">
        <v>3.45</v>
      </c>
      <c r="P22">
        <v>8.27</v>
      </c>
      <c r="Q22" t="s">
        <v>46</v>
      </c>
      <c r="R22" t="s">
        <v>52</v>
      </c>
      <c r="S22" t="s">
        <v>53</v>
      </c>
      <c r="T22" t="s">
        <v>46</v>
      </c>
      <c r="U22" t="s">
        <v>54</v>
      </c>
      <c r="V22" t="s">
        <v>55</v>
      </c>
      <c r="W22" t="s">
        <v>202</v>
      </c>
      <c r="X22" t="s">
        <v>203</v>
      </c>
      <c r="Y22">
        <v>1.74</v>
      </c>
      <c r="Z22" t="s">
        <v>46</v>
      </c>
      <c r="AA22" t="s">
        <v>58</v>
      </c>
      <c r="AB22" t="s">
        <v>59</v>
      </c>
      <c r="AC22">
        <v>283</v>
      </c>
      <c r="AD22" t="s">
        <v>46</v>
      </c>
      <c r="AE22" t="s">
        <v>60</v>
      </c>
      <c r="AF22" t="s">
        <v>45</v>
      </c>
      <c r="AG22" t="s">
        <v>46</v>
      </c>
      <c r="AH22" t="s">
        <v>61</v>
      </c>
      <c r="AI22" t="s">
        <v>48</v>
      </c>
      <c r="AJ22" t="s">
        <v>62</v>
      </c>
      <c r="AK22" t="s">
        <v>63</v>
      </c>
      <c r="AL22" t="s">
        <v>64</v>
      </c>
      <c r="AM22" t="s">
        <v>46</v>
      </c>
      <c r="AN22" t="s">
        <v>60</v>
      </c>
      <c r="AO22" t="s">
        <v>62</v>
      </c>
      <c r="AP22" t="s">
        <v>204</v>
      </c>
      <c r="AQ22" t="s">
        <v>66</v>
      </c>
      <c r="AR22" t="s">
        <v>67</v>
      </c>
    </row>
    <row r="23" spans="1:44">
      <c r="A23" s="1">
        <v>45427</v>
      </c>
      <c r="B23" s="2">
        <v>0.22942129629629629</v>
      </c>
      <c r="C23" t="s">
        <v>44</v>
      </c>
      <c r="D23" t="s">
        <v>45</v>
      </c>
      <c r="E23">
        <v>0.25</v>
      </c>
      <c r="F23" t="s">
        <v>46</v>
      </c>
      <c r="G23" t="s">
        <v>47</v>
      </c>
      <c r="H23" t="s">
        <v>45</v>
      </c>
      <c r="I23">
        <v>0.25580000000000003</v>
      </c>
      <c r="J23" t="s">
        <v>46</v>
      </c>
      <c r="K23" t="s">
        <v>48</v>
      </c>
      <c r="L23" t="s">
        <v>49</v>
      </c>
      <c r="M23" t="s">
        <v>50</v>
      </c>
      <c r="N23" t="s">
        <v>51</v>
      </c>
      <c r="O23">
        <v>3.45</v>
      </c>
      <c r="P23">
        <v>8.27</v>
      </c>
      <c r="Q23" t="s">
        <v>46</v>
      </c>
      <c r="R23" t="s">
        <v>52</v>
      </c>
      <c r="S23" t="s">
        <v>53</v>
      </c>
      <c r="T23" t="s">
        <v>46</v>
      </c>
      <c r="U23" t="s">
        <v>54</v>
      </c>
      <c r="V23" t="s">
        <v>55</v>
      </c>
      <c r="W23" t="s">
        <v>205</v>
      </c>
      <c r="X23" t="s">
        <v>206</v>
      </c>
      <c r="Y23">
        <v>1.73</v>
      </c>
      <c r="Z23" t="s">
        <v>46</v>
      </c>
      <c r="AA23" t="s">
        <v>58</v>
      </c>
      <c r="AB23" t="s">
        <v>59</v>
      </c>
      <c r="AC23">
        <v>283</v>
      </c>
      <c r="AD23" t="s">
        <v>46</v>
      </c>
      <c r="AE23" t="s">
        <v>60</v>
      </c>
      <c r="AF23" t="s">
        <v>45</v>
      </c>
      <c r="AG23" t="s">
        <v>46</v>
      </c>
      <c r="AH23" t="s">
        <v>61</v>
      </c>
      <c r="AI23" t="s">
        <v>48</v>
      </c>
      <c r="AJ23" t="s">
        <v>62</v>
      </c>
      <c r="AK23" t="s">
        <v>63</v>
      </c>
      <c r="AL23" t="s">
        <v>64</v>
      </c>
      <c r="AM23" t="s">
        <v>46</v>
      </c>
      <c r="AN23" t="s">
        <v>60</v>
      </c>
      <c r="AO23" t="s">
        <v>62</v>
      </c>
      <c r="AP23" t="s">
        <v>207</v>
      </c>
      <c r="AQ23" t="s">
        <v>66</v>
      </c>
      <c r="AR23" t="s">
        <v>67</v>
      </c>
    </row>
    <row r="24" spans="1:44">
      <c r="A24" s="1">
        <v>45427</v>
      </c>
      <c r="B24" s="2">
        <v>0.22946759259259258</v>
      </c>
      <c r="C24" t="s">
        <v>44</v>
      </c>
      <c r="D24" t="s">
        <v>45</v>
      </c>
      <c r="E24">
        <v>0.36399999999999999</v>
      </c>
      <c r="F24" t="s">
        <v>46</v>
      </c>
      <c r="G24" t="s">
        <v>47</v>
      </c>
      <c r="H24" t="s">
        <v>45</v>
      </c>
      <c r="I24">
        <v>0.25580000000000003</v>
      </c>
      <c r="J24" t="s">
        <v>46</v>
      </c>
      <c r="K24" t="s">
        <v>48</v>
      </c>
      <c r="L24" t="s">
        <v>49</v>
      </c>
      <c r="M24" t="s">
        <v>50</v>
      </c>
      <c r="N24" t="s">
        <v>51</v>
      </c>
      <c r="O24">
        <v>3.45</v>
      </c>
      <c r="P24">
        <v>8.27</v>
      </c>
      <c r="Q24" t="s">
        <v>46</v>
      </c>
      <c r="R24" t="s">
        <v>52</v>
      </c>
      <c r="S24" t="s">
        <v>53</v>
      </c>
      <c r="T24" t="s">
        <v>46</v>
      </c>
      <c r="U24" t="s">
        <v>54</v>
      </c>
      <c r="V24" t="s">
        <v>55</v>
      </c>
      <c r="W24" t="s">
        <v>205</v>
      </c>
      <c r="X24" t="s">
        <v>206</v>
      </c>
      <c r="Y24">
        <v>1.73</v>
      </c>
      <c r="Z24" t="s">
        <v>46</v>
      </c>
      <c r="AA24" t="s">
        <v>58</v>
      </c>
      <c r="AB24" t="s">
        <v>59</v>
      </c>
      <c r="AC24">
        <v>283</v>
      </c>
      <c r="AD24" t="s">
        <v>46</v>
      </c>
      <c r="AE24" t="s">
        <v>60</v>
      </c>
      <c r="AF24" t="s">
        <v>45</v>
      </c>
      <c r="AG24" t="s">
        <v>46</v>
      </c>
      <c r="AH24" t="s">
        <v>61</v>
      </c>
      <c r="AI24" t="s">
        <v>48</v>
      </c>
      <c r="AJ24" t="s">
        <v>62</v>
      </c>
      <c r="AK24" t="s">
        <v>63</v>
      </c>
      <c r="AL24" t="s">
        <v>64</v>
      </c>
      <c r="AM24" t="s">
        <v>46</v>
      </c>
      <c r="AN24" t="s">
        <v>60</v>
      </c>
      <c r="AO24" t="s">
        <v>62</v>
      </c>
      <c r="AP24" t="s">
        <v>208</v>
      </c>
      <c r="AQ24" t="s">
        <v>66</v>
      </c>
      <c r="AR24" t="s">
        <v>67</v>
      </c>
    </row>
    <row r="25" spans="1:44">
      <c r="A25" s="1">
        <v>45427</v>
      </c>
      <c r="B25" s="2">
        <v>0.22951388888888888</v>
      </c>
      <c r="C25" t="s">
        <v>44</v>
      </c>
      <c r="D25" t="s">
        <v>45</v>
      </c>
      <c r="E25">
        <v>0.1</v>
      </c>
      <c r="F25" t="s">
        <v>46</v>
      </c>
      <c r="G25" t="s">
        <v>47</v>
      </c>
      <c r="H25" t="s">
        <v>45</v>
      </c>
      <c r="I25">
        <v>0.25600000000000001</v>
      </c>
      <c r="J25" t="s">
        <v>46</v>
      </c>
      <c r="K25" t="s">
        <v>48</v>
      </c>
      <c r="L25" t="s">
        <v>49</v>
      </c>
      <c r="M25" t="s">
        <v>50</v>
      </c>
      <c r="N25" t="s">
        <v>51</v>
      </c>
      <c r="O25">
        <v>3.45</v>
      </c>
      <c r="P25">
        <v>8.27</v>
      </c>
      <c r="Q25" t="s">
        <v>46</v>
      </c>
      <c r="R25" t="s">
        <v>52</v>
      </c>
      <c r="S25" t="s">
        <v>53</v>
      </c>
      <c r="T25" t="s">
        <v>46</v>
      </c>
      <c r="U25" t="s">
        <v>54</v>
      </c>
      <c r="V25" t="s">
        <v>55</v>
      </c>
      <c r="W25" t="s">
        <v>98</v>
      </c>
      <c r="X25" t="s">
        <v>132</v>
      </c>
      <c r="Y25">
        <v>1.73</v>
      </c>
      <c r="Z25" t="s">
        <v>46</v>
      </c>
      <c r="AA25" t="s">
        <v>58</v>
      </c>
      <c r="AB25" t="s">
        <v>59</v>
      </c>
      <c r="AC25">
        <v>283</v>
      </c>
      <c r="AD25" t="s">
        <v>46</v>
      </c>
      <c r="AE25" t="s">
        <v>60</v>
      </c>
      <c r="AF25" t="s">
        <v>45</v>
      </c>
      <c r="AG25" t="s">
        <v>46</v>
      </c>
      <c r="AH25" t="s">
        <v>61</v>
      </c>
      <c r="AI25" t="s">
        <v>48</v>
      </c>
      <c r="AJ25" t="s">
        <v>62</v>
      </c>
      <c r="AK25" t="s">
        <v>63</v>
      </c>
      <c r="AL25" t="s">
        <v>64</v>
      </c>
      <c r="AM25" t="s">
        <v>46</v>
      </c>
      <c r="AN25" t="s">
        <v>60</v>
      </c>
      <c r="AO25" t="s">
        <v>62</v>
      </c>
      <c r="AP25" t="s">
        <v>209</v>
      </c>
      <c r="AQ25" t="s">
        <v>66</v>
      </c>
      <c r="AR25" t="s">
        <v>67</v>
      </c>
    </row>
    <row r="26" spans="1:44">
      <c r="A26" s="1">
        <v>45427</v>
      </c>
      <c r="B26" s="2">
        <v>0.22956018518518517</v>
      </c>
      <c r="C26" t="s">
        <v>44</v>
      </c>
      <c r="D26" t="s">
        <v>45</v>
      </c>
      <c r="E26">
        <v>0.58799999999999997</v>
      </c>
      <c r="F26" t="s">
        <v>46</v>
      </c>
      <c r="G26" t="s">
        <v>47</v>
      </c>
      <c r="H26" t="s">
        <v>45</v>
      </c>
      <c r="I26">
        <v>0.25600000000000001</v>
      </c>
      <c r="J26" t="s">
        <v>46</v>
      </c>
      <c r="K26" t="s">
        <v>48</v>
      </c>
      <c r="L26" t="s">
        <v>49</v>
      </c>
      <c r="M26" t="s">
        <v>50</v>
      </c>
      <c r="N26" t="s">
        <v>51</v>
      </c>
      <c r="O26">
        <v>3.45</v>
      </c>
      <c r="P26">
        <v>8.27</v>
      </c>
      <c r="Q26" t="s">
        <v>46</v>
      </c>
      <c r="R26" t="s">
        <v>52</v>
      </c>
      <c r="S26" t="s">
        <v>53</v>
      </c>
      <c r="T26" t="s">
        <v>46</v>
      </c>
      <c r="U26" t="s">
        <v>54</v>
      </c>
      <c r="V26" t="s">
        <v>55</v>
      </c>
      <c r="W26" t="s">
        <v>210</v>
      </c>
      <c r="X26" t="s">
        <v>74</v>
      </c>
      <c r="Y26">
        <v>1.72</v>
      </c>
      <c r="Z26" t="s">
        <v>46</v>
      </c>
      <c r="AA26" t="s">
        <v>58</v>
      </c>
      <c r="AB26" t="s">
        <v>59</v>
      </c>
      <c r="AC26">
        <v>284</v>
      </c>
      <c r="AD26" t="s">
        <v>46</v>
      </c>
      <c r="AE26" t="s">
        <v>60</v>
      </c>
      <c r="AF26" t="s">
        <v>45</v>
      </c>
      <c r="AG26" t="s">
        <v>46</v>
      </c>
      <c r="AH26" t="s">
        <v>61</v>
      </c>
      <c r="AI26" t="s">
        <v>48</v>
      </c>
      <c r="AJ26" t="s">
        <v>62</v>
      </c>
      <c r="AK26" t="s">
        <v>63</v>
      </c>
      <c r="AL26" t="s">
        <v>64</v>
      </c>
      <c r="AM26" t="s">
        <v>46</v>
      </c>
      <c r="AN26" t="s">
        <v>60</v>
      </c>
      <c r="AO26" t="s">
        <v>62</v>
      </c>
      <c r="AP26" t="s">
        <v>211</v>
      </c>
      <c r="AQ26" t="s">
        <v>66</v>
      </c>
      <c r="AR26" t="s">
        <v>67</v>
      </c>
    </row>
    <row r="27" spans="1:44">
      <c r="A27" s="1">
        <v>45427</v>
      </c>
      <c r="B27" s="2">
        <v>0.22961805555555556</v>
      </c>
      <c r="C27" t="s">
        <v>44</v>
      </c>
      <c r="D27" t="s">
        <v>45</v>
      </c>
      <c r="E27">
        <v>0.39400000000000002</v>
      </c>
      <c r="F27" t="s">
        <v>46</v>
      </c>
      <c r="G27" t="s">
        <v>47</v>
      </c>
      <c r="H27" t="s">
        <v>45</v>
      </c>
      <c r="I27">
        <v>0.25600000000000001</v>
      </c>
      <c r="J27" t="s">
        <v>46</v>
      </c>
      <c r="K27" t="s">
        <v>48</v>
      </c>
      <c r="L27" t="s">
        <v>49</v>
      </c>
      <c r="M27" t="s">
        <v>50</v>
      </c>
      <c r="N27" t="s">
        <v>51</v>
      </c>
      <c r="O27">
        <v>3.45</v>
      </c>
      <c r="P27">
        <v>8.27</v>
      </c>
      <c r="Q27" t="s">
        <v>46</v>
      </c>
      <c r="R27" t="s">
        <v>52</v>
      </c>
      <c r="S27" t="s">
        <v>53</v>
      </c>
      <c r="T27" t="s">
        <v>46</v>
      </c>
      <c r="U27" t="s">
        <v>54</v>
      </c>
      <c r="V27" t="s">
        <v>55</v>
      </c>
      <c r="W27" t="s">
        <v>212</v>
      </c>
      <c r="X27" t="s">
        <v>213</v>
      </c>
      <c r="Y27">
        <v>1.71</v>
      </c>
      <c r="Z27" t="s">
        <v>46</v>
      </c>
      <c r="AA27" t="s">
        <v>58</v>
      </c>
      <c r="AB27" t="s">
        <v>59</v>
      </c>
      <c r="AC27">
        <v>283</v>
      </c>
      <c r="AD27" t="s">
        <v>46</v>
      </c>
      <c r="AE27" t="s">
        <v>60</v>
      </c>
      <c r="AF27" t="s">
        <v>45</v>
      </c>
      <c r="AG27" t="s">
        <v>46</v>
      </c>
      <c r="AH27" t="s">
        <v>61</v>
      </c>
      <c r="AI27" t="s">
        <v>48</v>
      </c>
      <c r="AJ27" t="s">
        <v>62</v>
      </c>
      <c r="AK27" t="s">
        <v>63</v>
      </c>
      <c r="AL27" t="s">
        <v>64</v>
      </c>
      <c r="AM27" t="s">
        <v>46</v>
      </c>
      <c r="AN27" t="s">
        <v>60</v>
      </c>
      <c r="AO27" t="s">
        <v>62</v>
      </c>
      <c r="AP27" t="s">
        <v>214</v>
      </c>
      <c r="AQ27" t="s">
        <v>66</v>
      </c>
      <c r="AR27" t="s">
        <v>67</v>
      </c>
    </row>
    <row r="28" spans="1:44">
      <c r="A28" s="1">
        <v>45427</v>
      </c>
      <c r="B28" s="2">
        <v>0.22966435185185186</v>
      </c>
      <c r="C28" t="s">
        <v>44</v>
      </c>
      <c r="D28" t="s">
        <v>45</v>
      </c>
      <c r="E28">
        <v>0.28100000000000003</v>
      </c>
      <c r="F28" t="s">
        <v>46</v>
      </c>
      <c r="G28" t="s">
        <v>47</v>
      </c>
      <c r="H28" t="s">
        <v>45</v>
      </c>
      <c r="I28">
        <v>0.25600000000000001</v>
      </c>
      <c r="J28" t="s">
        <v>46</v>
      </c>
      <c r="K28" t="s">
        <v>48</v>
      </c>
      <c r="L28" t="s">
        <v>49</v>
      </c>
      <c r="M28" t="s">
        <v>50</v>
      </c>
      <c r="N28" t="s">
        <v>51</v>
      </c>
      <c r="O28">
        <v>3.45</v>
      </c>
      <c r="P28">
        <v>8.27</v>
      </c>
      <c r="Q28" t="s">
        <v>46</v>
      </c>
      <c r="R28" t="s">
        <v>52</v>
      </c>
      <c r="S28" t="s">
        <v>53</v>
      </c>
      <c r="T28" t="s">
        <v>46</v>
      </c>
      <c r="U28" t="s">
        <v>54</v>
      </c>
      <c r="V28" t="s">
        <v>55</v>
      </c>
      <c r="W28" t="s">
        <v>215</v>
      </c>
      <c r="X28" t="s">
        <v>71</v>
      </c>
      <c r="Y28">
        <v>1.7</v>
      </c>
      <c r="Z28" t="s">
        <v>46</v>
      </c>
      <c r="AA28" t="s">
        <v>58</v>
      </c>
      <c r="AB28" t="s">
        <v>59</v>
      </c>
      <c r="AC28">
        <v>283</v>
      </c>
      <c r="AD28" t="s">
        <v>46</v>
      </c>
      <c r="AE28" t="s">
        <v>60</v>
      </c>
      <c r="AF28" t="s">
        <v>45</v>
      </c>
      <c r="AG28" t="s">
        <v>46</v>
      </c>
      <c r="AH28" t="s">
        <v>61</v>
      </c>
      <c r="AI28" t="s">
        <v>48</v>
      </c>
      <c r="AJ28" t="s">
        <v>62</v>
      </c>
      <c r="AK28" t="s">
        <v>63</v>
      </c>
      <c r="AL28" t="s">
        <v>64</v>
      </c>
      <c r="AM28" t="s">
        <v>46</v>
      </c>
      <c r="AN28" t="s">
        <v>60</v>
      </c>
      <c r="AO28" t="s">
        <v>62</v>
      </c>
      <c r="AP28" t="s">
        <v>216</v>
      </c>
      <c r="AQ28" t="s">
        <v>66</v>
      </c>
      <c r="AR28" t="s">
        <v>67</v>
      </c>
    </row>
    <row r="29" spans="1:44">
      <c r="A29" s="1"/>
      <c r="B29" s="2"/>
      <c r="E29" s="3">
        <f>AVERAGE(log_v1_051524_tc_2[Column5])</f>
        <v>0.27351851851851849</v>
      </c>
      <c r="F29" s="3"/>
      <c r="G29" s="3"/>
      <c r="H29" s="3"/>
      <c r="I29" s="3">
        <f>AVERAGE(log_v1_051524_tc_2[Column9])</f>
        <v>0.25524074074074071</v>
      </c>
      <c r="O29">
        <f>AVERAGE(log_v1_051524_tc_2[Column15])</f>
        <v>3.450000000000002</v>
      </c>
      <c r="P29">
        <f>AVERAGE(log_v1_051524_tc_2[Column16])</f>
        <v>8.2700000000000031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C806-CE29-4C83-96BA-84218042C392}">
  <dimension ref="A1:AR28"/>
  <sheetViews>
    <sheetView topLeftCell="F19" workbookViewId="0">
      <selection activeCell="O28" sqref="O28:P28"/>
    </sheetView>
  </sheetViews>
  <sheetFormatPr defaultRowHeight="14.45"/>
  <cols>
    <col min="1" max="9" width="10.7109375" bestFit="1" customWidth="1"/>
    <col min="10" max="41" width="11.7109375" bestFit="1" customWidth="1"/>
    <col min="42" max="42" width="25.7109375" bestFit="1" customWidth="1"/>
    <col min="43" max="44" width="11.7109375" bestFit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45427</v>
      </c>
      <c r="B2" s="2">
        <v>0.23063657407407406</v>
      </c>
      <c r="C2" t="s">
        <v>44</v>
      </c>
      <c r="D2" t="s">
        <v>45</v>
      </c>
      <c r="E2">
        <v>0.182</v>
      </c>
      <c r="F2" t="s">
        <v>46</v>
      </c>
      <c r="G2" t="s">
        <v>47</v>
      </c>
      <c r="H2" t="s">
        <v>45</v>
      </c>
      <c r="I2">
        <v>0.25519999999999998</v>
      </c>
      <c r="J2" t="s">
        <v>46</v>
      </c>
      <c r="K2" t="s">
        <v>48</v>
      </c>
      <c r="L2" t="s">
        <v>49</v>
      </c>
      <c r="M2" t="s">
        <v>50</v>
      </c>
      <c r="N2" t="s">
        <v>51</v>
      </c>
      <c r="O2">
        <v>3.45</v>
      </c>
      <c r="P2">
        <v>8.27</v>
      </c>
      <c r="Q2" t="s">
        <v>46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217</v>
      </c>
      <c r="X2" t="s">
        <v>119</v>
      </c>
      <c r="Y2">
        <v>1.56</v>
      </c>
      <c r="Z2" t="s">
        <v>46</v>
      </c>
      <c r="AA2" t="s">
        <v>58</v>
      </c>
      <c r="AB2" t="s">
        <v>59</v>
      </c>
      <c r="AC2">
        <v>282</v>
      </c>
      <c r="AD2" t="s">
        <v>46</v>
      </c>
      <c r="AE2" t="s">
        <v>60</v>
      </c>
      <c r="AF2" t="s">
        <v>45</v>
      </c>
      <c r="AG2" t="s">
        <v>46</v>
      </c>
      <c r="AH2" t="s">
        <v>61</v>
      </c>
      <c r="AI2" t="s">
        <v>48</v>
      </c>
      <c r="AJ2" t="s">
        <v>62</v>
      </c>
      <c r="AK2" t="s">
        <v>63</v>
      </c>
      <c r="AL2" t="s">
        <v>64</v>
      </c>
      <c r="AM2" t="s">
        <v>46</v>
      </c>
      <c r="AN2" t="s">
        <v>60</v>
      </c>
      <c r="AO2" t="s">
        <v>62</v>
      </c>
      <c r="AP2" t="s">
        <v>218</v>
      </c>
      <c r="AQ2" t="s">
        <v>66</v>
      </c>
      <c r="AR2" t="s">
        <v>67</v>
      </c>
    </row>
    <row r="3" spans="1:44">
      <c r="A3" s="1">
        <v>45427</v>
      </c>
      <c r="B3" s="2">
        <v>0.23068287037037036</v>
      </c>
      <c r="C3" t="s">
        <v>44</v>
      </c>
      <c r="D3" t="s">
        <v>45</v>
      </c>
      <c r="E3">
        <v>0.69699999999999995</v>
      </c>
      <c r="F3" t="s">
        <v>46</v>
      </c>
      <c r="G3" t="s">
        <v>47</v>
      </c>
      <c r="H3" t="s">
        <v>45</v>
      </c>
      <c r="I3">
        <v>0.25540000000000002</v>
      </c>
      <c r="J3" t="s">
        <v>46</v>
      </c>
      <c r="K3" t="s">
        <v>48</v>
      </c>
      <c r="L3" t="s">
        <v>49</v>
      </c>
      <c r="M3" t="s">
        <v>50</v>
      </c>
      <c r="N3" t="s">
        <v>51</v>
      </c>
      <c r="O3">
        <v>3.45</v>
      </c>
      <c r="P3">
        <v>8.27</v>
      </c>
      <c r="Q3" t="s">
        <v>46</v>
      </c>
      <c r="R3" t="s">
        <v>52</v>
      </c>
      <c r="S3" t="s">
        <v>53</v>
      </c>
      <c r="T3" t="s">
        <v>46</v>
      </c>
      <c r="U3" t="s">
        <v>54</v>
      </c>
      <c r="V3" t="s">
        <v>55</v>
      </c>
      <c r="W3" t="s">
        <v>217</v>
      </c>
      <c r="X3" t="s">
        <v>119</v>
      </c>
      <c r="Y3">
        <v>1.56</v>
      </c>
      <c r="Z3" t="s">
        <v>46</v>
      </c>
      <c r="AA3" t="s">
        <v>58</v>
      </c>
      <c r="AB3" t="s">
        <v>59</v>
      </c>
      <c r="AC3">
        <v>283</v>
      </c>
      <c r="AD3" t="s">
        <v>46</v>
      </c>
      <c r="AE3" t="s">
        <v>60</v>
      </c>
      <c r="AF3" t="s">
        <v>45</v>
      </c>
      <c r="AG3" t="s">
        <v>46</v>
      </c>
      <c r="AH3" t="s">
        <v>61</v>
      </c>
      <c r="AI3" t="s">
        <v>48</v>
      </c>
      <c r="AJ3" t="s">
        <v>62</v>
      </c>
      <c r="AK3" t="s">
        <v>63</v>
      </c>
      <c r="AL3" t="s">
        <v>64</v>
      </c>
      <c r="AM3" t="s">
        <v>46</v>
      </c>
      <c r="AN3" t="s">
        <v>60</v>
      </c>
      <c r="AO3" t="s">
        <v>62</v>
      </c>
      <c r="AP3" t="s">
        <v>219</v>
      </c>
      <c r="AQ3" t="s">
        <v>66</v>
      </c>
      <c r="AR3" t="s">
        <v>67</v>
      </c>
    </row>
    <row r="4" spans="1:44">
      <c r="A4" s="1">
        <v>45427</v>
      </c>
      <c r="B4" s="2">
        <v>0.23074074074074075</v>
      </c>
      <c r="C4" t="s">
        <v>44</v>
      </c>
      <c r="D4" t="s">
        <v>45</v>
      </c>
      <c r="E4">
        <v>0.182</v>
      </c>
      <c r="F4" t="s">
        <v>46</v>
      </c>
      <c r="G4" t="s">
        <v>47</v>
      </c>
      <c r="H4" t="s">
        <v>45</v>
      </c>
      <c r="I4">
        <v>0.25559999999999999</v>
      </c>
      <c r="J4" t="s">
        <v>46</v>
      </c>
      <c r="K4" t="s">
        <v>48</v>
      </c>
      <c r="L4" t="s">
        <v>49</v>
      </c>
      <c r="M4" t="s">
        <v>50</v>
      </c>
      <c r="N4" t="s">
        <v>51</v>
      </c>
      <c r="O4">
        <v>3.45</v>
      </c>
      <c r="P4">
        <v>8.27</v>
      </c>
      <c r="Q4" t="s">
        <v>46</v>
      </c>
      <c r="R4" t="s">
        <v>52</v>
      </c>
      <c r="S4" t="s">
        <v>53</v>
      </c>
      <c r="T4" t="s">
        <v>46</v>
      </c>
      <c r="U4" t="s">
        <v>54</v>
      </c>
      <c r="V4" t="s">
        <v>55</v>
      </c>
      <c r="W4" t="s">
        <v>220</v>
      </c>
      <c r="X4" t="s">
        <v>221</v>
      </c>
      <c r="Y4">
        <v>1.55</v>
      </c>
      <c r="Z4" t="s">
        <v>46</v>
      </c>
      <c r="AA4" t="s">
        <v>58</v>
      </c>
      <c r="AB4" t="s">
        <v>59</v>
      </c>
      <c r="AC4">
        <v>283</v>
      </c>
      <c r="AD4" t="s">
        <v>46</v>
      </c>
      <c r="AE4" t="s">
        <v>60</v>
      </c>
      <c r="AF4" t="s">
        <v>45</v>
      </c>
      <c r="AG4" t="s">
        <v>46</v>
      </c>
      <c r="AH4" t="s">
        <v>61</v>
      </c>
      <c r="AI4" t="s">
        <v>48</v>
      </c>
      <c r="AJ4" t="s">
        <v>62</v>
      </c>
      <c r="AK4" t="s">
        <v>63</v>
      </c>
      <c r="AL4" t="s">
        <v>64</v>
      </c>
      <c r="AM4" t="s">
        <v>46</v>
      </c>
      <c r="AN4" t="s">
        <v>60</v>
      </c>
      <c r="AO4" t="s">
        <v>62</v>
      </c>
      <c r="AP4" t="s">
        <v>222</v>
      </c>
      <c r="AQ4" t="s">
        <v>66</v>
      </c>
      <c r="AR4" t="s">
        <v>67</v>
      </c>
    </row>
    <row r="5" spans="1:44">
      <c r="A5" s="1">
        <v>45427</v>
      </c>
      <c r="B5" s="2">
        <v>0.23078703703703704</v>
      </c>
      <c r="C5" t="s">
        <v>44</v>
      </c>
      <c r="D5" t="s">
        <v>45</v>
      </c>
      <c r="E5">
        <v>0.182</v>
      </c>
      <c r="F5" t="s">
        <v>46</v>
      </c>
      <c r="G5" t="s">
        <v>47</v>
      </c>
      <c r="H5" t="s">
        <v>45</v>
      </c>
      <c r="I5">
        <v>0.25559999999999999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>
        <v>3.45</v>
      </c>
      <c r="P5">
        <v>8.27</v>
      </c>
      <c r="Q5" t="s">
        <v>46</v>
      </c>
      <c r="R5" t="s">
        <v>52</v>
      </c>
      <c r="S5" t="s">
        <v>53</v>
      </c>
      <c r="T5" t="s">
        <v>46</v>
      </c>
      <c r="U5" t="s">
        <v>54</v>
      </c>
      <c r="V5" t="s">
        <v>55</v>
      </c>
      <c r="W5" t="s">
        <v>223</v>
      </c>
      <c r="X5" t="s">
        <v>224</v>
      </c>
      <c r="Y5">
        <v>1.54</v>
      </c>
      <c r="Z5" t="s">
        <v>46</v>
      </c>
      <c r="AA5" t="s">
        <v>58</v>
      </c>
      <c r="AB5" t="s">
        <v>59</v>
      </c>
      <c r="AC5">
        <v>283</v>
      </c>
      <c r="AD5" t="s">
        <v>46</v>
      </c>
      <c r="AE5" t="s">
        <v>60</v>
      </c>
      <c r="AF5" t="s">
        <v>45</v>
      </c>
      <c r="AG5" t="s">
        <v>46</v>
      </c>
      <c r="AH5" t="s">
        <v>61</v>
      </c>
      <c r="AI5" t="s">
        <v>48</v>
      </c>
      <c r="AJ5" t="s">
        <v>62</v>
      </c>
      <c r="AK5" t="s">
        <v>63</v>
      </c>
      <c r="AL5" t="s">
        <v>64</v>
      </c>
      <c r="AM5" t="s">
        <v>46</v>
      </c>
      <c r="AN5" t="s">
        <v>60</v>
      </c>
      <c r="AO5" t="s">
        <v>62</v>
      </c>
      <c r="AP5" t="s">
        <v>225</v>
      </c>
      <c r="AQ5" t="s">
        <v>66</v>
      </c>
      <c r="AR5" t="s">
        <v>67</v>
      </c>
    </row>
    <row r="6" spans="1:44">
      <c r="A6" s="1">
        <v>45427</v>
      </c>
      <c r="B6" s="2">
        <v>0.23083333333333333</v>
      </c>
      <c r="C6" t="s">
        <v>44</v>
      </c>
      <c r="D6" t="s">
        <v>45</v>
      </c>
      <c r="E6">
        <v>0.67600000000000005</v>
      </c>
      <c r="F6" t="s">
        <v>46</v>
      </c>
      <c r="G6" t="s">
        <v>47</v>
      </c>
      <c r="H6" t="s">
        <v>45</v>
      </c>
      <c r="I6">
        <v>0.25569999999999998</v>
      </c>
      <c r="J6" t="s">
        <v>46</v>
      </c>
      <c r="K6" t="s">
        <v>48</v>
      </c>
      <c r="L6" t="s">
        <v>49</v>
      </c>
      <c r="M6" t="s">
        <v>50</v>
      </c>
      <c r="N6" t="s">
        <v>51</v>
      </c>
      <c r="O6">
        <v>3.45</v>
      </c>
      <c r="P6">
        <v>8.27</v>
      </c>
      <c r="Q6" t="s">
        <v>46</v>
      </c>
      <c r="R6" t="s">
        <v>52</v>
      </c>
      <c r="S6" t="s">
        <v>53</v>
      </c>
      <c r="T6" t="s">
        <v>46</v>
      </c>
      <c r="U6" t="s">
        <v>54</v>
      </c>
      <c r="V6" t="s">
        <v>55</v>
      </c>
      <c r="W6" t="s">
        <v>226</v>
      </c>
      <c r="X6" t="s">
        <v>224</v>
      </c>
      <c r="Y6">
        <v>1.53</v>
      </c>
      <c r="Z6" t="s">
        <v>46</v>
      </c>
      <c r="AA6" t="s">
        <v>58</v>
      </c>
      <c r="AB6" t="s">
        <v>59</v>
      </c>
      <c r="AC6">
        <v>283</v>
      </c>
      <c r="AD6" t="s">
        <v>46</v>
      </c>
      <c r="AE6" t="s">
        <v>60</v>
      </c>
      <c r="AF6" t="s">
        <v>45</v>
      </c>
      <c r="AG6" t="s">
        <v>46</v>
      </c>
      <c r="AH6" t="s">
        <v>61</v>
      </c>
      <c r="AI6" t="s">
        <v>48</v>
      </c>
      <c r="AJ6" t="s">
        <v>62</v>
      </c>
      <c r="AK6" t="s">
        <v>63</v>
      </c>
      <c r="AL6" t="s">
        <v>64</v>
      </c>
      <c r="AM6" t="s">
        <v>46</v>
      </c>
      <c r="AN6" t="s">
        <v>60</v>
      </c>
      <c r="AO6" t="s">
        <v>62</v>
      </c>
      <c r="AP6" t="s">
        <v>227</v>
      </c>
      <c r="AQ6" t="s">
        <v>66</v>
      </c>
      <c r="AR6" t="s">
        <v>67</v>
      </c>
    </row>
    <row r="7" spans="1:44">
      <c r="A7" s="1">
        <v>45427</v>
      </c>
      <c r="B7" s="2">
        <v>0.23087962962962963</v>
      </c>
      <c r="C7" t="s">
        <v>44</v>
      </c>
      <c r="D7" t="s">
        <v>45</v>
      </c>
      <c r="E7">
        <v>0.40600000000000003</v>
      </c>
      <c r="F7" t="s">
        <v>46</v>
      </c>
      <c r="G7" t="s">
        <v>47</v>
      </c>
      <c r="H7" t="s">
        <v>45</v>
      </c>
      <c r="I7">
        <v>0.25569999999999998</v>
      </c>
      <c r="J7" t="s">
        <v>46</v>
      </c>
      <c r="K7" t="s">
        <v>48</v>
      </c>
      <c r="L7" t="s">
        <v>49</v>
      </c>
      <c r="M7" t="s">
        <v>50</v>
      </c>
      <c r="N7" t="s">
        <v>51</v>
      </c>
      <c r="O7">
        <v>3.45</v>
      </c>
      <c r="P7">
        <v>8.27</v>
      </c>
      <c r="Q7" t="s">
        <v>46</v>
      </c>
      <c r="R7" t="s">
        <v>52</v>
      </c>
      <c r="S7" t="s">
        <v>53</v>
      </c>
      <c r="T7" t="s">
        <v>46</v>
      </c>
      <c r="U7" t="s">
        <v>54</v>
      </c>
      <c r="V7" t="s">
        <v>55</v>
      </c>
      <c r="W7" t="s">
        <v>228</v>
      </c>
      <c r="X7" t="s">
        <v>119</v>
      </c>
      <c r="Y7">
        <v>1.54</v>
      </c>
      <c r="Z7" t="s">
        <v>46</v>
      </c>
      <c r="AA7" t="s">
        <v>58</v>
      </c>
      <c r="AB7" t="s">
        <v>59</v>
      </c>
      <c r="AC7">
        <v>283</v>
      </c>
      <c r="AD7" t="s">
        <v>46</v>
      </c>
      <c r="AE7" t="s">
        <v>60</v>
      </c>
      <c r="AF7" t="s">
        <v>45</v>
      </c>
      <c r="AG7" t="s">
        <v>46</v>
      </c>
      <c r="AH7" t="s">
        <v>61</v>
      </c>
      <c r="AI7" t="s">
        <v>48</v>
      </c>
      <c r="AJ7" t="s">
        <v>62</v>
      </c>
      <c r="AK7" t="s">
        <v>63</v>
      </c>
      <c r="AL7" t="s">
        <v>64</v>
      </c>
      <c r="AM7" t="s">
        <v>46</v>
      </c>
      <c r="AN7" t="s">
        <v>60</v>
      </c>
      <c r="AO7" t="s">
        <v>62</v>
      </c>
      <c r="AP7" t="s">
        <v>229</v>
      </c>
      <c r="AQ7" t="s">
        <v>66</v>
      </c>
      <c r="AR7" t="s">
        <v>67</v>
      </c>
    </row>
    <row r="8" spans="1:44">
      <c r="A8" s="1">
        <v>45427</v>
      </c>
      <c r="B8" s="2">
        <v>0.23092592592592592</v>
      </c>
      <c r="C8" t="s">
        <v>44</v>
      </c>
      <c r="D8" t="s">
        <v>45</v>
      </c>
      <c r="E8">
        <v>0.82899999999999996</v>
      </c>
      <c r="F8" t="s">
        <v>46</v>
      </c>
      <c r="G8" t="s">
        <v>47</v>
      </c>
      <c r="H8" t="s">
        <v>45</v>
      </c>
      <c r="I8">
        <v>0.25569999999999998</v>
      </c>
      <c r="J8" t="s">
        <v>46</v>
      </c>
      <c r="K8" t="s">
        <v>48</v>
      </c>
      <c r="L8" t="s">
        <v>49</v>
      </c>
      <c r="M8" t="s">
        <v>50</v>
      </c>
      <c r="N8" t="s">
        <v>51</v>
      </c>
      <c r="O8">
        <v>3.45</v>
      </c>
      <c r="P8">
        <v>8.27</v>
      </c>
      <c r="Q8" t="s">
        <v>46</v>
      </c>
      <c r="R8" t="s">
        <v>52</v>
      </c>
      <c r="S8" t="s">
        <v>53</v>
      </c>
      <c r="T8" t="s">
        <v>46</v>
      </c>
      <c r="U8" t="s">
        <v>54</v>
      </c>
      <c r="V8" t="s">
        <v>55</v>
      </c>
      <c r="W8" t="s">
        <v>230</v>
      </c>
      <c r="X8" t="s">
        <v>221</v>
      </c>
      <c r="Y8">
        <v>1.53</v>
      </c>
      <c r="Z8" t="s">
        <v>46</v>
      </c>
      <c r="AA8" t="s">
        <v>58</v>
      </c>
      <c r="AB8" t="s">
        <v>59</v>
      </c>
      <c r="AC8">
        <v>284</v>
      </c>
      <c r="AD8" t="s">
        <v>46</v>
      </c>
      <c r="AE8" t="s">
        <v>60</v>
      </c>
      <c r="AF8" t="s">
        <v>45</v>
      </c>
      <c r="AG8" t="s">
        <v>46</v>
      </c>
      <c r="AH8" t="s">
        <v>61</v>
      </c>
      <c r="AI8" t="s">
        <v>48</v>
      </c>
      <c r="AJ8" t="s">
        <v>62</v>
      </c>
      <c r="AK8" t="s">
        <v>63</v>
      </c>
      <c r="AL8" t="s">
        <v>64</v>
      </c>
      <c r="AM8" t="s">
        <v>46</v>
      </c>
      <c r="AN8" t="s">
        <v>60</v>
      </c>
      <c r="AO8" t="s">
        <v>62</v>
      </c>
      <c r="AP8" t="s">
        <v>231</v>
      </c>
      <c r="AQ8" t="s">
        <v>66</v>
      </c>
      <c r="AR8" t="s">
        <v>67</v>
      </c>
    </row>
    <row r="9" spans="1:44">
      <c r="A9" s="1">
        <v>45427</v>
      </c>
      <c r="B9" s="2">
        <v>0.23098379629629628</v>
      </c>
      <c r="C9" t="s">
        <v>44</v>
      </c>
      <c r="D9" t="s">
        <v>45</v>
      </c>
      <c r="E9">
        <v>0.36399999999999999</v>
      </c>
      <c r="F9" t="s">
        <v>46</v>
      </c>
      <c r="G9" t="s">
        <v>47</v>
      </c>
      <c r="H9" t="s">
        <v>45</v>
      </c>
      <c r="I9">
        <v>0.25580000000000003</v>
      </c>
      <c r="J9" t="s">
        <v>46</v>
      </c>
      <c r="K9" t="s">
        <v>48</v>
      </c>
      <c r="L9" t="s">
        <v>49</v>
      </c>
      <c r="M9" t="s">
        <v>50</v>
      </c>
      <c r="N9" t="s">
        <v>51</v>
      </c>
      <c r="O9">
        <v>3.45</v>
      </c>
      <c r="P9">
        <v>8.27</v>
      </c>
      <c r="Q9" t="s">
        <v>46</v>
      </c>
      <c r="R9" t="s">
        <v>52</v>
      </c>
      <c r="S9" t="s">
        <v>53</v>
      </c>
      <c r="T9" t="s">
        <v>46</v>
      </c>
      <c r="U9" t="s">
        <v>54</v>
      </c>
      <c r="V9" t="s">
        <v>55</v>
      </c>
      <c r="W9" t="s">
        <v>232</v>
      </c>
      <c r="X9" t="s">
        <v>224</v>
      </c>
      <c r="Y9">
        <v>1.53</v>
      </c>
      <c r="Z9" t="s">
        <v>46</v>
      </c>
      <c r="AA9" t="s">
        <v>58</v>
      </c>
      <c r="AB9" t="s">
        <v>59</v>
      </c>
      <c r="AC9">
        <v>283</v>
      </c>
      <c r="AD9" t="s">
        <v>46</v>
      </c>
      <c r="AE9" t="s">
        <v>60</v>
      </c>
      <c r="AF9" t="s">
        <v>45</v>
      </c>
      <c r="AG9" t="s">
        <v>46</v>
      </c>
      <c r="AH9" t="s">
        <v>61</v>
      </c>
      <c r="AI9" t="s">
        <v>48</v>
      </c>
      <c r="AJ9" t="s">
        <v>62</v>
      </c>
      <c r="AK9" t="s">
        <v>63</v>
      </c>
      <c r="AL9" t="s">
        <v>64</v>
      </c>
      <c r="AM9" t="s">
        <v>46</v>
      </c>
      <c r="AN9" t="s">
        <v>60</v>
      </c>
      <c r="AO9" t="s">
        <v>62</v>
      </c>
      <c r="AP9" t="s">
        <v>233</v>
      </c>
      <c r="AQ9" t="s">
        <v>66</v>
      </c>
      <c r="AR9" t="s">
        <v>67</v>
      </c>
    </row>
    <row r="10" spans="1:44">
      <c r="A10" s="1">
        <v>45427</v>
      </c>
      <c r="B10" s="2">
        <v>0.23103009259259261</v>
      </c>
      <c r="C10" t="s">
        <v>44</v>
      </c>
      <c r="D10" t="s">
        <v>45</v>
      </c>
      <c r="E10">
        <v>0.219</v>
      </c>
      <c r="F10" t="s">
        <v>46</v>
      </c>
      <c r="G10" t="s">
        <v>47</v>
      </c>
      <c r="H10" t="s">
        <v>45</v>
      </c>
      <c r="I10">
        <v>0.25600000000000001</v>
      </c>
      <c r="J10" t="s">
        <v>46</v>
      </c>
      <c r="K10" t="s">
        <v>48</v>
      </c>
      <c r="L10" t="s">
        <v>49</v>
      </c>
      <c r="M10" t="s">
        <v>50</v>
      </c>
      <c r="N10" t="s">
        <v>51</v>
      </c>
      <c r="O10">
        <v>3.45</v>
      </c>
      <c r="P10">
        <v>8.27</v>
      </c>
      <c r="Q10" t="s">
        <v>46</v>
      </c>
      <c r="R10" t="s">
        <v>52</v>
      </c>
      <c r="S10" t="s">
        <v>53</v>
      </c>
      <c r="T10" t="s">
        <v>46</v>
      </c>
      <c r="U10" t="s">
        <v>54</v>
      </c>
      <c r="V10" t="s">
        <v>55</v>
      </c>
      <c r="W10" t="s">
        <v>232</v>
      </c>
      <c r="X10" t="s">
        <v>224</v>
      </c>
      <c r="Y10">
        <v>1.53</v>
      </c>
      <c r="Z10" t="s">
        <v>46</v>
      </c>
      <c r="AA10" t="s">
        <v>58</v>
      </c>
      <c r="AB10" t="s">
        <v>59</v>
      </c>
      <c r="AC10">
        <v>283</v>
      </c>
      <c r="AD10" t="s">
        <v>46</v>
      </c>
      <c r="AE10" t="s">
        <v>60</v>
      </c>
      <c r="AF10" t="s">
        <v>45</v>
      </c>
      <c r="AG10" t="s">
        <v>46</v>
      </c>
      <c r="AH10" t="s">
        <v>61</v>
      </c>
      <c r="AI10" t="s">
        <v>48</v>
      </c>
      <c r="AJ10" t="s">
        <v>62</v>
      </c>
      <c r="AK10" t="s">
        <v>63</v>
      </c>
      <c r="AL10" t="s">
        <v>64</v>
      </c>
      <c r="AM10" t="s">
        <v>46</v>
      </c>
      <c r="AN10" t="s">
        <v>60</v>
      </c>
      <c r="AO10" t="s">
        <v>62</v>
      </c>
      <c r="AP10" t="s">
        <v>234</v>
      </c>
      <c r="AQ10" t="s">
        <v>66</v>
      </c>
      <c r="AR10" t="s">
        <v>67</v>
      </c>
    </row>
    <row r="11" spans="1:44">
      <c r="A11" s="1">
        <v>45427</v>
      </c>
      <c r="B11" s="2">
        <v>0.2310763888888889</v>
      </c>
      <c r="C11" t="s">
        <v>44</v>
      </c>
      <c r="D11" t="s">
        <v>45</v>
      </c>
      <c r="E11">
        <v>0.28100000000000003</v>
      </c>
      <c r="F11" t="s">
        <v>46</v>
      </c>
      <c r="G11" t="s">
        <v>47</v>
      </c>
      <c r="H11" t="s">
        <v>45</v>
      </c>
      <c r="I11">
        <v>0.25609999999999999</v>
      </c>
      <c r="J11" t="s">
        <v>46</v>
      </c>
      <c r="K11" t="s">
        <v>48</v>
      </c>
      <c r="L11" t="s">
        <v>49</v>
      </c>
      <c r="M11" t="s">
        <v>50</v>
      </c>
      <c r="N11" t="s">
        <v>51</v>
      </c>
      <c r="O11">
        <v>3.45</v>
      </c>
      <c r="P11">
        <v>8.27</v>
      </c>
      <c r="Q11" t="s">
        <v>46</v>
      </c>
      <c r="R11" t="s">
        <v>52</v>
      </c>
      <c r="S11" t="s">
        <v>53</v>
      </c>
      <c r="T11" t="s">
        <v>46</v>
      </c>
      <c r="U11" t="s">
        <v>54</v>
      </c>
      <c r="V11" t="s">
        <v>55</v>
      </c>
      <c r="W11" t="s">
        <v>235</v>
      </c>
      <c r="X11" t="s">
        <v>202</v>
      </c>
      <c r="Y11">
        <v>1.52</v>
      </c>
      <c r="Z11" t="s">
        <v>46</v>
      </c>
      <c r="AA11" t="s">
        <v>58</v>
      </c>
      <c r="AB11" t="s">
        <v>59</v>
      </c>
      <c r="AC11">
        <v>283</v>
      </c>
      <c r="AD11" t="s">
        <v>46</v>
      </c>
      <c r="AE11" t="s">
        <v>60</v>
      </c>
      <c r="AF11" t="s">
        <v>45</v>
      </c>
      <c r="AG11" t="s">
        <v>46</v>
      </c>
      <c r="AH11" t="s">
        <v>61</v>
      </c>
      <c r="AI11" t="s">
        <v>48</v>
      </c>
      <c r="AJ11" t="s">
        <v>62</v>
      </c>
      <c r="AK11" t="s">
        <v>63</v>
      </c>
      <c r="AL11" t="s">
        <v>64</v>
      </c>
      <c r="AM11" t="s">
        <v>46</v>
      </c>
      <c r="AN11" t="s">
        <v>60</v>
      </c>
      <c r="AO11" t="s">
        <v>62</v>
      </c>
      <c r="AP11" t="s">
        <v>236</v>
      </c>
      <c r="AQ11" t="s">
        <v>66</v>
      </c>
      <c r="AR11" t="s">
        <v>67</v>
      </c>
    </row>
    <row r="12" spans="1:44">
      <c r="A12" s="1">
        <v>45427</v>
      </c>
      <c r="B12" s="2">
        <v>0.23112268518518519</v>
      </c>
      <c r="C12" t="s">
        <v>44</v>
      </c>
      <c r="D12" t="s">
        <v>45</v>
      </c>
      <c r="E12">
        <v>0.55900000000000005</v>
      </c>
      <c r="F12" t="s">
        <v>46</v>
      </c>
      <c r="G12" t="s">
        <v>47</v>
      </c>
      <c r="H12" t="s">
        <v>45</v>
      </c>
      <c r="I12">
        <v>0.25590000000000002</v>
      </c>
      <c r="J12" t="s">
        <v>46</v>
      </c>
      <c r="K12" t="s">
        <v>48</v>
      </c>
      <c r="L12" t="s">
        <v>49</v>
      </c>
      <c r="M12" t="s">
        <v>50</v>
      </c>
      <c r="N12" t="s">
        <v>51</v>
      </c>
      <c r="O12">
        <v>3.45</v>
      </c>
      <c r="P12">
        <v>8.27</v>
      </c>
      <c r="Q12" t="s">
        <v>46</v>
      </c>
      <c r="R12" t="s">
        <v>52</v>
      </c>
      <c r="S12" t="s">
        <v>53</v>
      </c>
      <c r="T12" t="s">
        <v>46</v>
      </c>
      <c r="U12" t="s">
        <v>54</v>
      </c>
      <c r="V12" t="s">
        <v>55</v>
      </c>
      <c r="W12" t="s">
        <v>237</v>
      </c>
      <c r="X12" t="s">
        <v>238</v>
      </c>
      <c r="Y12">
        <v>1.51</v>
      </c>
      <c r="Z12" t="s">
        <v>46</v>
      </c>
      <c r="AA12" t="s">
        <v>58</v>
      </c>
      <c r="AB12" t="s">
        <v>59</v>
      </c>
      <c r="AC12">
        <v>285</v>
      </c>
      <c r="AD12" t="s">
        <v>46</v>
      </c>
      <c r="AE12" t="s">
        <v>60</v>
      </c>
      <c r="AF12" t="s">
        <v>45</v>
      </c>
      <c r="AG12" t="s">
        <v>46</v>
      </c>
      <c r="AH12" t="s">
        <v>61</v>
      </c>
      <c r="AI12" t="s">
        <v>48</v>
      </c>
      <c r="AJ12" t="s">
        <v>62</v>
      </c>
      <c r="AK12" t="s">
        <v>63</v>
      </c>
      <c r="AL12" t="s">
        <v>64</v>
      </c>
      <c r="AM12" t="s">
        <v>46</v>
      </c>
      <c r="AN12" t="s">
        <v>60</v>
      </c>
      <c r="AO12" t="s">
        <v>62</v>
      </c>
      <c r="AP12" t="s">
        <v>239</v>
      </c>
      <c r="AQ12" t="s">
        <v>66</v>
      </c>
      <c r="AR12" t="s">
        <v>67</v>
      </c>
    </row>
    <row r="13" spans="1:44">
      <c r="A13" s="1">
        <v>45427</v>
      </c>
      <c r="B13" s="2">
        <v>0.23118055555555556</v>
      </c>
      <c r="C13" t="s">
        <v>44</v>
      </c>
      <c r="D13" t="s">
        <v>45</v>
      </c>
      <c r="E13">
        <v>0.28100000000000003</v>
      </c>
      <c r="F13" t="s">
        <v>46</v>
      </c>
      <c r="G13" t="s">
        <v>47</v>
      </c>
      <c r="H13" t="s">
        <v>45</v>
      </c>
      <c r="I13">
        <v>0.25590000000000002</v>
      </c>
      <c r="J13" t="s">
        <v>46</v>
      </c>
      <c r="K13" t="s">
        <v>48</v>
      </c>
      <c r="L13" t="s">
        <v>49</v>
      </c>
      <c r="M13" t="s">
        <v>50</v>
      </c>
      <c r="N13" t="s">
        <v>51</v>
      </c>
      <c r="O13">
        <v>3.45</v>
      </c>
      <c r="P13">
        <v>8.27</v>
      </c>
      <c r="Q13" t="s">
        <v>46</v>
      </c>
      <c r="R13" t="s">
        <v>52</v>
      </c>
      <c r="S13" t="s">
        <v>53</v>
      </c>
      <c r="T13" t="s">
        <v>46</v>
      </c>
      <c r="U13" t="s">
        <v>54</v>
      </c>
      <c r="V13" t="s">
        <v>55</v>
      </c>
      <c r="W13" t="s">
        <v>240</v>
      </c>
      <c r="X13" t="s">
        <v>241</v>
      </c>
      <c r="Y13">
        <v>1.5</v>
      </c>
      <c r="Z13" t="s">
        <v>46</v>
      </c>
      <c r="AA13" t="s">
        <v>58</v>
      </c>
      <c r="AB13" t="s">
        <v>59</v>
      </c>
      <c r="AC13">
        <v>284</v>
      </c>
      <c r="AD13" t="s">
        <v>46</v>
      </c>
      <c r="AE13" t="s">
        <v>60</v>
      </c>
      <c r="AF13" t="s">
        <v>45</v>
      </c>
      <c r="AG13" t="s">
        <v>46</v>
      </c>
      <c r="AH13" t="s">
        <v>61</v>
      </c>
      <c r="AI13" t="s">
        <v>48</v>
      </c>
      <c r="AJ13" t="s">
        <v>62</v>
      </c>
      <c r="AK13" t="s">
        <v>63</v>
      </c>
      <c r="AL13" t="s">
        <v>64</v>
      </c>
      <c r="AM13" t="s">
        <v>46</v>
      </c>
      <c r="AN13" t="s">
        <v>60</v>
      </c>
      <c r="AO13" t="s">
        <v>62</v>
      </c>
      <c r="AP13" t="s">
        <v>242</v>
      </c>
      <c r="AQ13" t="s">
        <v>66</v>
      </c>
      <c r="AR13" t="s">
        <v>67</v>
      </c>
    </row>
    <row r="14" spans="1:44">
      <c r="A14" s="1">
        <v>45427</v>
      </c>
      <c r="B14" s="2">
        <v>0.23122685185185185</v>
      </c>
      <c r="C14" t="s">
        <v>44</v>
      </c>
      <c r="D14" t="s">
        <v>45</v>
      </c>
      <c r="E14">
        <v>0.182</v>
      </c>
      <c r="F14" t="s">
        <v>46</v>
      </c>
      <c r="G14" t="s">
        <v>47</v>
      </c>
      <c r="H14" t="s">
        <v>45</v>
      </c>
      <c r="I14">
        <v>0.25600000000000001</v>
      </c>
      <c r="J14" t="s">
        <v>46</v>
      </c>
      <c r="K14" t="s">
        <v>48</v>
      </c>
      <c r="L14" t="s">
        <v>49</v>
      </c>
      <c r="M14" t="s">
        <v>50</v>
      </c>
      <c r="N14" t="s">
        <v>51</v>
      </c>
      <c r="O14">
        <v>3.45</v>
      </c>
      <c r="P14">
        <v>8.27</v>
      </c>
      <c r="Q14" t="s">
        <v>46</v>
      </c>
      <c r="R14" t="s">
        <v>52</v>
      </c>
      <c r="S14" t="s">
        <v>53</v>
      </c>
      <c r="T14" t="s">
        <v>46</v>
      </c>
      <c r="U14" t="s">
        <v>54</v>
      </c>
      <c r="V14" t="s">
        <v>55</v>
      </c>
      <c r="W14" t="s">
        <v>243</v>
      </c>
      <c r="X14" t="s">
        <v>244</v>
      </c>
      <c r="Y14">
        <v>1.49</v>
      </c>
      <c r="Z14" t="s">
        <v>46</v>
      </c>
      <c r="AA14" t="s">
        <v>58</v>
      </c>
      <c r="AB14" t="s">
        <v>59</v>
      </c>
      <c r="AC14">
        <v>283</v>
      </c>
      <c r="AD14" t="s">
        <v>46</v>
      </c>
      <c r="AE14" t="s">
        <v>60</v>
      </c>
      <c r="AF14" t="s">
        <v>45</v>
      </c>
      <c r="AG14" t="s">
        <v>46</v>
      </c>
      <c r="AH14" t="s">
        <v>61</v>
      </c>
      <c r="AI14" t="s">
        <v>48</v>
      </c>
      <c r="AJ14" t="s">
        <v>62</v>
      </c>
      <c r="AK14" t="s">
        <v>63</v>
      </c>
      <c r="AL14" t="s">
        <v>64</v>
      </c>
      <c r="AM14" t="s">
        <v>46</v>
      </c>
      <c r="AN14" t="s">
        <v>60</v>
      </c>
      <c r="AO14" t="s">
        <v>62</v>
      </c>
      <c r="AP14" t="s">
        <v>245</v>
      </c>
      <c r="AQ14" t="s">
        <v>66</v>
      </c>
      <c r="AR14" t="s">
        <v>67</v>
      </c>
    </row>
    <row r="15" spans="1:44">
      <c r="A15" s="1">
        <v>45427</v>
      </c>
      <c r="B15" s="2">
        <v>0.23127314814814814</v>
      </c>
      <c r="C15" t="s">
        <v>44</v>
      </c>
      <c r="D15" t="s">
        <v>45</v>
      </c>
      <c r="E15">
        <v>0.38900000000000001</v>
      </c>
      <c r="F15" t="s">
        <v>46</v>
      </c>
      <c r="G15" t="s">
        <v>47</v>
      </c>
      <c r="H15" t="s">
        <v>45</v>
      </c>
      <c r="I15">
        <v>0.25590000000000002</v>
      </c>
      <c r="J15" t="s">
        <v>46</v>
      </c>
      <c r="K15" t="s">
        <v>48</v>
      </c>
      <c r="L15" t="s">
        <v>49</v>
      </c>
      <c r="M15" t="s">
        <v>50</v>
      </c>
      <c r="N15" t="s">
        <v>51</v>
      </c>
      <c r="O15">
        <v>3.45</v>
      </c>
      <c r="P15">
        <v>8.27</v>
      </c>
      <c r="Q15" t="s">
        <v>46</v>
      </c>
      <c r="R15" t="s">
        <v>52</v>
      </c>
      <c r="S15" t="s">
        <v>53</v>
      </c>
      <c r="T15" t="s">
        <v>46</v>
      </c>
      <c r="U15" t="s">
        <v>54</v>
      </c>
      <c r="V15" t="s">
        <v>55</v>
      </c>
      <c r="W15" t="s">
        <v>246</v>
      </c>
      <c r="X15" t="s">
        <v>247</v>
      </c>
      <c r="Y15">
        <v>1.48</v>
      </c>
      <c r="Z15" t="s">
        <v>46</v>
      </c>
      <c r="AA15" t="s">
        <v>58</v>
      </c>
      <c r="AB15" t="s">
        <v>59</v>
      </c>
      <c r="AC15">
        <v>283</v>
      </c>
      <c r="AD15" t="s">
        <v>46</v>
      </c>
      <c r="AE15" t="s">
        <v>60</v>
      </c>
      <c r="AF15" t="s">
        <v>45</v>
      </c>
      <c r="AG15" t="s">
        <v>46</v>
      </c>
      <c r="AH15" t="s">
        <v>61</v>
      </c>
      <c r="AI15" t="s">
        <v>48</v>
      </c>
      <c r="AJ15" t="s">
        <v>62</v>
      </c>
      <c r="AK15" t="s">
        <v>63</v>
      </c>
      <c r="AL15" t="s">
        <v>64</v>
      </c>
      <c r="AM15" t="s">
        <v>46</v>
      </c>
      <c r="AN15" t="s">
        <v>60</v>
      </c>
      <c r="AO15" t="s">
        <v>62</v>
      </c>
      <c r="AP15" t="s">
        <v>248</v>
      </c>
      <c r="AQ15" t="s">
        <v>66</v>
      </c>
      <c r="AR15" t="s">
        <v>67</v>
      </c>
    </row>
    <row r="16" spans="1:44">
      <c r="A16" s="1">
        <v>45427</v>
      </c>
      <c r="B16" s="2">
        <v>0.23131944444444444</v>
      </c>
      <c r="C16" t="s">
        <v>44</v>
      </c>
      <c r="D16" t="s">
        <v>45</v>
      </c>
      <c r="E16">
        <v>0.17599999999999999</v>
      </c>
      <c r="F16" t="s">
        <v>46</v>
      </c>
      <c r="G16" t="s">
        <v>47</v>
      </c>
      <c r="H16" t="s">
        <v>45</v>
      </c>
      <c r="I16">
        <v>0.25600000000000001</v>
      </c>
      <c r="J16" t="s">
        <v>46</v>
      </c>
      <c r="K16" t="s">
        <v>48</v>
      </c>
      <c r="L16" t="s">
        <v>49</v>
      </c>
      <c r="M16" t="s">
        <v>50</v>
      </c>
      <c r="N16" t="s">
        <v>51</v>
      </c>
      <c r="O16">
        <v>3.45</v>
      </c>
      <c r="P16">
        <v>8.27</v>
      </c>
      <c r="Q16" t="s">
        <v>46</v>
      </c>
      <c r="R16" t="s">
        <v>52</v>
      </c>
      <c r="S16" t="s">
        <v>53</v>
      </c>
      <c r="T16" t="s">
        <v>46</v>
      </c>
      <c r="U16" t="s">
        <v>54</v>
      </c>
      <c r="V16" t="s">
        <v>55</v>
      </c>
      <c r="W16" t="s">
        <v>246</v>
      </c>
      <c r="X16" t="s">
        <v>247</v>
      </c>
      <c r="Y16">
        <v>1.48</v>
      </c>
      <c r="Z16" t="s">
        <v>46</v>
      </c>
      <c r="AA16" t="s">
        <v>58</v>
      </c>
      <c r="AB16" t="s">
        <v>59</v>
      </c>
      <c r="AC16">
        <v>283</v>
      </c>
      <c r="AD16" t="s">
        <v>46</v>
      </c>
      <c r="AE16" t="s">
        <v>60</v>
      </c>
      <c r="AF16" t="s">
        <v>45</v>
      </c>
      <c r="AG16" t="s">
        <v>46</v>
      </c>
      <c r="AH16" t="s">
        <v>61</v>
      </c>
      <c r="AI16" t="s">
        <v>48</v>
      </c>
      <c r="AJ16" t="s">
        <v>62</v>
      </c>
      <c r="AK16" t="s">
        <v>63</v>
      </c>
      <c r="AL16" t="s">
        <v>64</v>
      </c>
      <c r="AM16" t="s">
        <v>46</v>
      </c>
      <c r="AN16" t="s">
        <v>60</v>
      </c>
      <c r="AO16" t="s">
        <v>62</v>
      </c>
      <c r="AP16" t="s">
        <v>249</v>
      </c>
      <c r="AQ16" t="s">
        <v>66</v>
      </c>
      <c r="AR16" t="s">
        <v>67</v>
      </c>
    </row>
    <row r="17" spans="1:44">
      <c r="A17" s="1">
        <v>45427</v>
      </c>
      <c r="B17" s="2">
        <v>0.23136574074074073</v>
      </c>
      <c r="C17" t="s">
        <v>44</v>
      </c>
      <c r="D17" t="s">
        <v>45</v>
      </c>
      <c r="E17">
        <v>0.125</v>
      </c>
      <c r="F17" t="s">
        <v>46</v>
      </c>
      <c r="G17" t="s">
        <v>47</v>
      </c>
      <c r="H17" t="s">
        <v>45</v>
      </c>
      <c r="I17">
        <v>0.25590000000000002</v>
      </c>
      <c r="J17" t="s">
        <v>46</v>
      </c>
      <c r="K17" t="s">
        <v>48</v>
      </c>
      <c r="L17" t="s">
        <v>49</v>
      </c>
      <c r="M17" t="s">
        <v>50</v>
      </c>
      <c r="N17" t="s">
        <v>51</v>
      </c>
      <c r="O17">
        <v>3.45</v>
      </c>
      <c r="P17">
        <v>8.27</v>
      </c>
      <c r="Q17" t="s">
        <v>46</v>
      </c>
      <c r="R17" t="s">
        <v>52</v>
      </c>
      <c r="S17" t="s">
        <v>53</v>
      </c>
      <c r="T17" t="s">
        <v>46</v>
      </c>
      <c r="U17" t="s">
        <v>54</v>
      </c>
      <c r="V17" t="s">
        <v>55</v>
      </c>
      <c r="W17" t="s">
        <v>250</v>
      </c>
      <c r="X17" t="s">
        <v>247</v>
      </c>
      <c r="Y17">
        <v>1.48</v>
      </c>
      <c r="Z17" t="s">
        <v>46</v>
      </c>
      <c r="AA17" t="s">
        <v>58</v>
      </c>
      <c r="AB17" t="s">
        <v>59</v>
      </c>
      <c r="AC17">
        <v>282</v>
      </c>
      <c r="AD17" t="s">
        <v>46</v>
      </c>
      <c r="AE17" t="s">
        <v>60</v>
      </c>
      <c r="AF17" t="s">
        <v>45</v>
      </c>
      <c r="AG17" t="s">
        <v>46</v>
      </c>
      <c r="AH17" t="s">
        <v>61</v>
      </c>
      <c r="AI17" t="s">
        <v>48</v>
      </c>
      <c r="AJ17" t="s">
        <v>62</v>
      </c>
      <c r="AK17" t="s">
        <v>63</v>
      </c>
      <c r="AL17" t="s">
        <v>64</v>
      </c>
      <c r="AM17" t="s">
        <v>46</v>
      </c>
      <c r="AN17" t="s">
        <v>60</v>
      </c>
      <c r="AO17" t="s">
        <v>62</v>
      </c>
      <c r="AP17" t="s">
        <v>251</v>
      </c>
      <c r="AQ17" t="s">
        <v>66</v>
      </c>
      <c r="AR17" t="s">
        <v>67</v>
      </c>
    </row>
    <row r="18" spans="1:44">
      <c r="A18" s="1">
        <v>45427</v>
      </c>
      <c r="B18" s="2">
        <v>0.23142361111111112</v>
      </c>
      <c r="C18" t="s">
        <v>44</v>
      </c>
      <c r="D18" t="s">
        <v>45</v>
      </c>
      <c r="E18">
        <v>0.41199999999999998</v>
      </c>
      <c r="F18" t="s">
        <v>46</v>
      </c>
      <c r="G18" t="s">
        <v>47</v>
      </c>
      <c r="H18" t="s">
        <v>45</v>
      </c>
      <c r="I18">
        <v>0.25590000000000002</v>
      </c>
      <c r="J18" t="s">
        <v>46</v>
      </c>
      <c r="K18" t="s">
        <v>48</v>
      </c>
      <c r="L18" t="s">
        <v>49</v>
      </c>
      <c r="M18" t="s">
        <v>50</v>
      </c>
      <c r="N18" t="s">
        <v>51</v>
      </c>
      <c r="O18">
        <v>3.45</v>
      </c>
      <c r="P18">
        <v>8.27</v>
      </c>
      <c r="Q18" t="s">
        <v>46</v>
      </c>
      <c r="R18" t="s">
        <v>52</v>
      </c>
      <c r="S18" t="s">
        <v>53</v>
      </c>
      <c r="T18" t="s">
        <v>46</v>
      </c>
      <c r="U18" t="s">
        <v>54</v>
      </c>
      <c r="V18" t="s">
        <v>55</v>
      </c>
      <c r="W18" t="s">
        <v>252</v>
      </c>
      <c r="X18" t="s">
        <v>247</v>
      </c>
      <c r="Y18">
        <v>1.48</v>
      </c>
      <c r="Z18" t="s">
        <v>46</v>
      </c>
      <c r="AA18" t="s">
        <v>58</v>
      </c>
      <c r="AB18" t="s">
        <v>59</v>
      </c>
      <c r="AC18">
        <v>282</v>
      </c>
      <c r="AD18" t="s">
        <v>46</v>
      </c>
      <c r="AE18" t="s">
        <v>60</v>
      </c>
      <c r="AF18" t="s">
        <v>45</v>
      </c>
      <c r="AG18" t="s">
        <v>46</v>
      </c>
      <c r="AH18" t="s">
        <v>61</v>
      </c>
      <c r="AI18" t="s">
        <v>48</v>
      </c>
      <c r="AJ18" t="s">
        <v>62</v>
      </c>
      <c r="AK18" t="s">
        <v>63</v>
      </c>
      <c r="AL18" t="s">
        <v>64</v>
      </c>
      <c r="AM18" t="s">
        <v>46</v>
      </c>
      <c r="AN18" t="s">
        <v>60</v>
      </c>
      <c r="AO18" t="s">
        <v>62</v>
      </c>
      <c r="AP18" t="s">
        <v>253</v>
      </c>
      <c r="AQ18" t="s">
        <v>66</v>
      </c>
      <c r="AR18" t="s">
        <v>67</v>
      </c>
    </row>
    <row r="19" spans="1:44">
      <c r="A19" s="1">
        <v>45427</v>
      </c>
      <c r="B19" s="2">
        <v>0.23146990740740742</v>
      </c>
      <c r="C19" t="s">
        <v>44</v>
      </c>
      <c r="D19" t="s">
        <v>45</v>
      </c>
      <c r="E19">
        <v>0.2</v>
      </c>
      <c r="F19" t="s">
        <v>46</v>
      </c>
      <c r="G19" t="s">
        <v>47</v>
      </c>
      <c r="H19" t="s">
        <v>45</v>
      </c>
      <c r="I19">
        <v>0.25600000000000001</v>
      </c>
      <c r="J19" t="s">
        <v>46</v>
      </c>
      <c r="K19" t="s">
        <v>48</v>
      </c>
      <c r="L19" t="s">
        <v>49</v>
      </c>
      <c r="M19" t="s">
        <v>50</v>
      </c>
      <c r="N19" t="s">
        <v>51</v>
      </c>
      <c r="O19">
        <v>3.45</v>
      </c>
      <c r="P19">
        <v>8.27</v>
      </c>
      <c r="Q19" t="s">
        <v>46</v>
      </c>
      <c r="R19" t="s">
        <v>52</v>
      </c>
      <c r="S19" t="s">
        <v>53</v>
      </c>
      <c r="T19" t="s">
        <v>46</v>
      </c>
      <c r="U19" t="s">
        <v>54</v>
      </c>
      <c r="V19" t="s">
        <v>55</v>
      </c>
      <c r="W19" t="s">
        <v>254</v>
      </c>
      <c r="X19" t="s">
        <v>205</v>
      </c>
      <c r="Y19">
        <v>1.47</v>
      </c>
      <c r="Z19" t="s">
        <v>46</v>
      </c>
      <c r="AA19" t="s">
        <v>58</v>
      </c>
      <c r="AB19" t="s">
        <v>59</v>
      </c>
      <c r="AC19">
        <v>282</v>
      </c>
      <c r="AD19" t="s">
        <v>46</v>
      </c>
      <c r="AE19" t="s">
        <v>60</v>
      </c>
      <c r="AF19" t="s">
        <v>45</v>
      </c>
      <c r="AG19" t="s">
        <v>46</v>
      </c>
      <c r="AH19" t="s">
        <v>61</v>
      </c>
      <c r="AI19" t="s">
        <v>48</v>
      </c>
      <c r="AJ19" t="s">
        <v>62</v>
      </c>
      <c r="AK19" t="s">
        <v>63</v>
      </c>
      <c r="AL19" t="s">
        <v>64</v>
      </c>
      <c r="AM19" t="s">
        <v>46</v>
      </c>
      <c r="AN19" t="s">
        <v>60</v>
      </c>
      <c r="AO19" t="s">
        <v>62</v>
      </c>
      <c r="AP19" t="s">
        <v>255</v>
      </c>
      <c r="AQ19" t="s">
        <v>66</v>
      </c>
      <c r="AR19" t="s">
        <v>67</v>
      </c>
    </row>
    <row r="20" spans="1:44">
      <c r="A20" s="1">
        <v>45427</v>
      </c>
      <c r="B20" s="2">
        <v>0.23151620370370371</v>
      </c>
      <c r="C20" t="s">
        <v>44</v>
      </c>
      <c r="D20" t="s">
        <v>45</v>
      </c>
      <c r="E20">
        <v>0.152</v>
      </c>
      <c r="F20" t="s">
        <v>46</v>
      </c>
      <c r="G20" t="s">
        <v>47</v>
      </c>
      <c r="H20" t="s">
        <v>45</v>
      </c>
      <c r="I20">
        <v>0.25600000000000001</v>
      </c>
      <c r="J20" t="s">
        <v>46</v>
      </c>
      <c r="K20" t="s">
        <v>48</v>
      </c>
      <c r="L20" t="s">
        <v>49</v>
      </c>
      <c r="M20" t="s">
        <v>50</v>
      </c>
      <c r="N20" t="s">
        <v>51</v>
      </c>
      <c r="O20">
        <v>3.45</v>
      </c>
      <c r="P20">
        <v>8.27</v>
      </c>
      <c r="Q20" t="s">
        <v>46</v>
      </c>
      <c r="R20" t="s">
        <v>52</v>
      </c>
      <c r="S20" t="s">
        <v>53</v>
      </c>
      <c r="T20" t="s">
        <v>46</v>
      </c>
      <c r="U20" t="s">
        <v>54</v>
      </c>
      <c r="V20" t="s">
        <v>55</v>
      </c>
      <c r="W20" t="s">
        <v>240</v>
      </c>
      <c r="X20" t="s">
        <v>129</v>
      </c>
      <c r="Y20">
        <v>1.46</v>
      </c>
      <c r="Z20" t="s">
        <v>46</v>
      </c>
      <c r="AA20" t="s">
        <v>58</v>
      </c>
      <c r="AB20" t="s">
        <v>59</v>
      </c>
      <c r="AC20">
        <v>282</v>
      </c>
      <c r="AD20" t="s">
        <v>46</v>
      </c>
      <c r="AE20" t="s">
        <v>60</v>
      </c>
      <c r="AF20" t="s">
        <v>45</v>
      </c>
      <c r="AG20" t="s">
        <v>46</v>
      </c>
      <c r="AH20" t="s">
        <v>61</v>
      </c>
      <c r="AI20" t="s">
        <v>48</v>
      </c>
      <c r="AJ20" t="s">
        <v>62</v>
      </c>
      <c r="AK20" t="s">
        <v>63</v>
      </c>
      <c r="AL20" t="s">
        <v>64</v>
      </c>
      <c r="AM20" t="s">
        <v>46</v>
      </c>
      <c r="AN20" t="s">
        <v>60</v>
      </c>
      <c r="AO20" t="s">
        <v>62</v>
      </c>
      <c r="AP20" t="s">
        <v>256</v>
      </c>
      <c r="AQ20" t="s">
        <v>66</v>
      </c>
      <c r="AR20" t="s">
        <v>67</v>
      </c>
    </row>
    <row r="21" spans="1:44">
      <c r="A21" s="1">
        <v>45427</v>
      </c>
      <c r="B21" s="2">
        <v>0.2315625</v>
      </c>
      <c r="C21" t="s">
        <v>44</v>
      </c>
      <c r="D21" t="s">
        <v>45</v>
      </c>
      <c r="E21">
        <v>0.35299999999999998</v>
      </c>
      <c r="F21" t="s">
        <v>46</v>
      </c>
      <c r="G21" t="s">
        <v>47</v>
      </c>
      <c r="H21" t="s">
        <v>45</v>
      </c>
      <c r="I21">
        <v>0.25609999999999999</v>
      </c>
      <c r="J21" t="s">
        <v>46</v>
      </c>
      <c r="K21" t="s">
        <v>48</v>
      </c>
      <c r="L21" t="s">
        <v>49</v>
      </c>
      <c r="M21" t="s">
        <v>50</v>
      </c>
      <c r="N21" t="s">
        <v>51</v>
      </c>
      <c r="O21">
        <v>3.45</v>
      </c>
      <c r="P21">
        <v>8.27</v>
      </c>
      <c r="Q21" t="s">
        <v>46</v>
      </c>
      <c r="R21" t="s">
        <v>52</v>
      </c>
      <c r="S21" t="s">
        <v>53</v>
      </c>
      <c r="T21" t="s">
        <v>46</v>
      </c>
      <c r="U21" t="s">
        <v>54</v>
      </c>
      <c r="V21" t="s">
        <v>55</v>
      </c>
      <c r="W21" t="s">
        <v>252</v>
      </c>
      <c r="X21" t="s">
        <v>129</v>
      </c>
      <c r="Y21">
        <v>1.46</v>
      </c>
      <c r="Z21" t="s">
        <v>46</v>
      </c>
      <c r="AA21" t="s">
        <v>58</v>
      </c>
      <c r="AB21" t="s">
        <v>59</v>
      </c>
      <c r="AC21">
        <v>282</v>
      </c>
      <c r="AD21" t="s">
        <v>46</v>
      </c>
      <c r="AE21" t="s">
        <v>60</v>
      </c>
      <c r="AF21" t="s">
        <v>45</v>
      </c>
      <c r="AG21" t="s">
        <v>46</v>
      </c>
      <c r="AH21" t="s">
        <v>61</v>
      </c>
      <c r="AI21" t="s">
        <v>48</v>
      </c>
      <c r="AJ21" t="s">
        <v>62</v>
      </c>
      <c r="AK21" t="s">
        <v>63</v>
      </c>
      <c r="AL21" t="s">
        <v>64</v>
      </c>
      <c r="AM21" t="s">
        <v>46</v>
      </c>
      <c r="AN21" t="s">
        <v>60</v>
      </c>
      <c r="AO21" t="s">
        <v>62</v>
      </c>
      <c r="AP21" t="s">
        <v>257</v>
      </c>
      <c r="AQ21" t="s">
        <v>66</v>
      </c>
      <c r="AR21" t="s">
        <v>67</v>
      </c>
    </row>
    <row r="22" spans="1:44">
      <c r="A22" s="1">
        <v>45427</v>
      </c>
      <c r="B22" s="2">
        <v>0.23162037037037037</v>
      </c>
      <c r="C22" t="s">
        <v>44</v>
      </c>
      <c r="D22" t="s">
        <v>45</v>
      </c>
      <c r="E22">
        <v>0.21199999999999999</v>
      </c>
      <c r="F22" t="s">
        <v>46</v>
      </c>
      <c r="G22" t="s">
        <v>47</v>
      </c>
      <c r="H22" t="s">
        <v>45</v>
      </c>
      <c r="I22">
        <v>0.25769999999999998</v>
      </c>
      <c r="J22" t="s">
        <v>46</v>
      </c>
      <c r="K22" t="s">
        <v>48</v>
      </c>
      <c r="L22" t="s">
        <v>49</v>
      </c>
      <c r="M22" t="s">
        <v>50</v>
      </c>
      <c r="N22" t="s">
        <v>51</v>
      </c>
      <c r="O22">
        <v>3.45</v>
      </c>
      <c r="P22">
        <v>8.27</v>
      </c>
      <c r="Q22" t="s">
        <v>46</v>
      </c>
      <c r="R22" t="s">
        <v>52</v>
      </c>
      <c r="S22" t="s">
        <v>53</v>
      </c>
      <c r="T22" t="s">
        <v>46</v>
      </c>
      <c r="U22" t="s">
        <v>54</v>
      </c>
      <c r="V22" t="s">
        <v>55</v>
      </c>
      <c r="W22" t="s">
        <v>254</v>
      </c>
      <c r="X22" t="s">
        <v>126</v>
      </c>
      <c r="Y22">
        <v>1.45</v>
      </c>
      <c r="Z22" t="s">
        <v>46</v>
      </c>
      <c r="AA22" t="s">
        <v>58</v>
      </c>
      <c r="AB22" t="s">
        <v>59</v>
      </c>
      <c r="AC22">
        <v>282</v>
      </c>
      <c r="AD22" t="s">
        <v>46</v>
      </c>
      <c r="AE22" t="s">
        <v>60</v>
      </c>
      <c r="AF22" t="s">
        <v>45</v>
      </c>
      <c r="AG22" t="s">
        <v>46</v>
      </c>
      <c r="AH22" t="s">
        <v>61</v>
      </c>
      <c r="AI22" t="s">
        <v>48</v>
      </c>
      <c r="AJ22" t="s">
        <v>62</v>
      </c>
      <c r="AK22" t="s">
        <v>63</v>
      </c>
      <c r="AL22" t="s">
        <v>64</v>
      </c>
      <c r="AM22" t="s">
        <v>46</v>
      </c>
      <c r="AN22" t="s">
        <v>60</v>
      </c>
      <c r="AO22" t="s">
        <v>62</v>
      </c>
      <c r="AP22" t="s">
        <v>258</v>
      </c>
      <c r="AQ22" t="s">
        <v>66</v>
      </c>
      <c r="AR22" t="s">
        <v>67</v>
      </c>
    </row>
    <row r="23" spans="1:44">
      <c r="A23" s="1">
        <v>45427</v>
      </c>
      <c r="B23" s="2">
        <v>0.23166666666666666</v>
      </c>
      <c r="C23" t="s">
        <v>44</v>
      </c>
      <c r="D23" t="s">
        <v>45</v>
      </c>
      <c r="E23">
        <v>0.2</v>
      </c>
      <c r="F23" t="s">
        <v>46</v>
      </c>
      <c r="G23" t="s">
        <v>47</v>
      </c>
      <c r="H23" t="s">
        <v>45</v>
      </c>
      <c r="I23">
        <v>0.25969999999999999</v>
      </c>
      <c r="J23" t="s">
        <v>46</v>
      </c>
      <c r="K23" t="s">
        <v>48</v>
      </c>
      <c r="L23" t="s">
        <v>49</v>
      </c>
      <c r="M23" t="s">
        <v>50</v>
      </c>
      <c r="N23" t="s">
        <v>51</v>
      </c>
      <c r="O23">
        <v>3.45</v>
      </c>
      <c r="P23">
        <v>8.27</v>
      </c>
      <c r="Q23" t="s">
        <v>46</v>
      </c>
      <c r="R23" t="s">
        <v>52</v>
      </c>
      <c r="S23" t="s">
        <v>53</v>
      </c>
      <c r="T23" t="s">
        <v>46</v>
      </c>
      <c r="U23" t="s">
        <v>54</v>
      </c>
      <c r="V23" t="s">
        <v>55</v>
      </c>
      <c r="W23" t="s">
        <v>254</v>
      </c>
      <c r="X23" t="s">
        <v>126</v>
      </c>
      <c r="Y23">
        <v>1.45</v>
      </c>
      <c r="Z23" t="s">
        <v>46</v>
      </c>
      <c r="AA23" t="s">
        <v>58</v>
      </c>
      <c r="AB23" t="s">
        <v>59</v>
      </c>
      <c r="AC23">
        <v>282</v>
      </c>
      <c r="AD23" t="s">
        <v>46</v>
      </c>
      <c r="AE23" t="s">
        <v>60</v>
      </c>
      <c r="AF23" t="s">
        <v>45</v>
      </c>
      <c r="AG23" t="s">
        <v>46</v>
      </c>
      <c r="AH23" t="s">
        <v>61</v>
      </c>
      <c r="AI23" t="s">
        <v>48</v>
      </c>
      <c r="AJ23" t="s">
        <v>62</v>
      </c>
      <c r="AK23" t="s">
        <v>63</v>
      </c>
      <c r="AL23" t="s">
        <v>64</v>
      </c>
      <c r="AM23" t="s">
        <v>46</v>
      </c>
      <c r="AN23" t="s">
        <v>60</v>
      </c>
      <c r="AO23" t="s">
        <v>62</v>
      </c>
      <c r="AP23" t="s">
        <v>259</v>
      </c>
      <c r="AQ23" t="s">
        <v>66</v>
      </c>
      <c r="AR23" t="s">
        <v>67</v>
      </c>
    </row>
    <row r="24" spans="1:44">
      <c r="A24" s="1">
        <v>45427</v>
      </c>
      <c r="B24" s="2">
        <v>0.23171296296296295</v>
      </c>
      <c r="C24" t="s">
        <v>44</v>
      </c>
      <c r="D24" t="s">
        <v>45</v>
      </c>
      <c r="E24">
        <v>0.36399999999999999</v>
      </c>
      <c r="F24" t="s">
        <v>46</v>
      </c>
      <c r="G24" t="s">
        <v>47</v>
      </c>
      <c r="H24" t="s">
        <v>45</v>
      </c>
      <c r="I24">
        <v>0.26119999999999999</v>
      </c>
      <c r="J24" t="s">
        <v>46</v>
      </c>
      <c r="K24" t="s">
        <v>48</v>
      </c>
      <c r="L24" t="s">
        <v>49</v>
      </c>
      <c r="M24" t="s">
        <v>50</v>
      </c>
      <c r="N24" t="s">
        <v>51</v>
      </c>
      <c r="O24">
        <v>3.45</v>
      </c>
      <c r="P24">
        <v>8.27</v>
      </c>
      <c r="Q24" t="s">
        <v>46</v>
      </c>
      <c r="R24" t="s">
        <v>52</v>
      </c>
      <c r="S24" t="s">
        <v>53</v>
      </c>
      <c r="T24" t="s">
        <v>46</v>
      </c>
      <c r="U24" t="s">
        <v>54</v>
      </c>
      <c r="V24" t="s">
        <v>55</v>
      </c>
      <c r="W24" t="s">
        <v>240</v>
      </c>
      <c r="X24" t="s">
        <v>260</v>
      </c>
      <c r="Y24">
        <v>1.44</v>
      </c>
      <c r="Z24" t="s">
        <v>46</v>
      </c>
      <c r="AA24" t="s">
        <v>58</v>
      </c>
      <c r="AB24" t="s">
        <v>59</v>
      </c>
      <c r="AC24">
        <v>282</v>
      </c>
      <c r="AD24" t="s">
        <v>46</v>
      </c>
      <c r="AE24" t="s">
        <v>60</v>
      </c>
      <c r="AF24" t="s">
        <v>45</v>
      </c>
      <c r="AG24" t="s">
        <v>46</v>
      </c>
      <c r="AH24" t="s">
        <v>61</v>
      </c>
      <c r="AI24" t="s">
        <v>48</v>
      </c>
      <c r="AJ24" t="s">
        <v>62</v>
      </c>
      <c r="AK24" t="s">
        <v>63</v>
      </c>
      <c r="AL24" t="s">
        <v>64</v>
      </c>
      <c r="AM24" t="s">
        <v>46</v>
      </c>
      <c r="AN24" t="s">
        <v>60</v>
      </c>
      <c r="AO24" t="s">
        <v>62</v>
      </c>
      <c r="AP24" t="s">
        <v>261</v>
      </c>
      <c r="AQ24" t="s">
        <v>66</v>
      </c>
      <c r="AR24" t="s">
        <v>67</v>
      </c>
    </row>
    <row r="25" spans="1:44">
      <c r="A25" s="1">
        <v>45427</v>
      </c>
      <c r="B25" s="2">
        <v>0.23175925925925925</v>
      </c>
      <c r="C25" t="s">
        <v>44</v>
      </c>
      <c r="D25" t="s">
        <v>45</v>
      </c>
      <c r="E25">
        <v>0.182</v>
      </c>
      <c r="F25" t="s">
        <v>46</v>
      </c>
      <c r="G25" t="s">
        <v>47</v>
      </c>
      <c r="H25" t="s">
        <v>45</v>
      </c>
      <c r="I25">
        <v>0.26300000000000001</v>
      </c>
      <c r="J25" t="s">
        <v>46</v>
      </c>
      <c r="K25" t="s">
        <v>48</v>
      </c>
      <c r="L25" t="s">
        <v>49</v>
      </c>
      <c r="M25" t="s">
        <v>50</v>
      </c>
      <c r="N25" t="s">
        <v>51</v>
      </c>
      <c r="O25">
        <v>3.45</v>
      </c>
      <c r="P25">
        <v>8.27</v>
      </c>
      <c r="Q25" t="s">
        <v>46</v>
      </c>
      <c r="R25" t="s">
        <v>52</v>
      </c>
      <c r="S25" t="s">
        <v>53</v>
      </c>
      <c r="T25" t="s">
        <v>46</v>
      </c>
      <c r="U25" t="s">
        <v>54</v>
      </c>
      <c r="V25" t="s">
        <v>55</v>
      </c>
      <c r="W25" t="s">
        <v>262</v>
      </c>
      <c r="X25" t="s">
        <v>263</v>
      </c>
      <c r="Y25">
        <v>1.44</v>
      </c>
      <c r="Z25" t="s">
        <v>46</v>
      </c>
      <c r="AA25" t="s">
        <v>58</v>
      </c>
      <c r="AB25" t="s">
        <v>59</v>
      </c>
      <c r="AC25">
        <v>282</v>
      </c>
      <c r="AD25" t="s">
        <v>46</v>
      </c>
      <c r="AE25" t="s">
        <v>60</v>
      </c>
      <c r="AF25" t="s">
        <v>45</v>
      </c>
      <c r="AG25" t="s">
        <v>46</v>
      </c>
      <c r="AH25" t="s">
        <v>61</v>
      </c>
      <c r="AI25" t="s">
        <v>48</v>
      </c>
      <c r="AJ25" t="s">
        <v>62</v>
      </c>
      <c r="AK25" t="s">
        <v>63</v>
      </c>
      <c r="AL25" t="s">
        <v>64</v>
      </c>
      <c r="AM25" t="s">
        <v>46</v>
      </c>
      <c r="AN25" t="s">
        <v>60</v>
      </c>
      <c r="AO25" t="s">
        <v>62</v>
      </c>
      <c r="AP25" t="s">
        <v>264</v>
      </c>
      <c r="AQ25" t="s">
        <v>66</v>
      </c>
      <c r="AR25" t="s">
        <v>67</v>
      </c>
    </row>
    <row r="26" spans="1:44">
      <c r="A26" s="1">
        <v>45427</v>
      </c>
      <c r="B26" s="2">
        <v>0.23180555555555554</v>
      </c>
      <c r="C26" t="s">
        <v>44</v>
      </c>
      <c r="D26" t="s">
        <v>45</v>
      </c>
      <c r="E26">
        <v>0.156</v>
      </c>
      <c r="F26" t="s">
        <v>46</v>
      </c>
      <c r="G26" t="s">
        <v>47</v>
      </c>
      <c r="H26" t="s">
        <v>45</v>
      </c>
      <c r="I26">
        <v>0.26469999999999999</v>
      </c>
      <c r="J26" t="s">
        <v>46</v>
      </c>
      <c r="K26" t="s">
        <v>48</v>
      </c>
      <c r="L26" t="s">
        <v>49</v>
      </c>
      <c r="M26" t="s">
        <v>50</v>
      </c>
      <c r="N26" t="s">
        <v>51</v>
      </c>
      <c r="O26">
        <v>3.45</v>
      </c>
      <c r="P26">
        <v>8.27</v>
      </c>
      <c r="Q26" t="s">
        <v>46</v>
      </c>
      <c r="R26" t="s">
        <v>52</v>
      </c>
      <c r="S26" t="s">
        <v>53</v>
      </c>
      <c r="T26" t="s">
        <v>46</v>
      </c>
      <c r="U26" t="s">
        <v>54</v>
      </c>
      <c r="V26" t="s">
        <v>55</v>
      </c>
      <c r="W26" t="s">
        <v>254</v>
      </c>
      <c r="X26" t="s">
        <v>263</v>
      </c>
      <c r="Y26">
        <v>1.43</v>
      </c>
      <c r="Z26" t="s">
        <v>46</v>
      </c>
      <c r="AA26" t="s">
        <v>58</v>
      </c>
      <c r="AB26" t="s">
        <v>59</v>
      </c>
      <c r="AC26">
        <v>282</v>
      </c>
      <c r="AD26" t="s">
        <v>46</v>
      </c>
      <c r="AE26" t="s">
        <v>60</v>
      </c>
      <c r="AF26" t="s">
        <v>45</v>
      </c>
      <c r="AG26" t="s">
        <v>46</v>
      </c>
      <c r="AH26" t="s">
        <v>61</v>
      </c>
      <c r="AI26" t="s">
        <v>48</v>
      </c>
      <c r="AJ26" t="s">
        <v>62</v>
      </c>
      <c r="AK26" t="s">
        <v>63</v>
      </c>
      <c r="AL26" t="s">
        <v>64</v>
      </c>
      <c r="AM26" t="s">
        <v>46</v>
      </c>
      <c r="AN26" t="s">
        <v>60</v>
      </c>
      <c r="AO26" t="s">
        <v>62</v>
      </c>
      <c r="AP26" t="s">
        <v>265</v>
      </c>
      <c r="AQ26" t="s">
        <v>66</v>
      </c>
      <c r="AR26" t="s">
        <v>67</v>
      </c>
    </row>
    <row r="27" spans="1:44">
      <c r="A27" s="1">
        <v>45427</v>
      </c>
      <c r="B27" s="2">
        <v>0.23186342592592593</v>
      </c>
      <c r="C27" t="s">
        <v>44</v>
      </c>
      <c r="D27" t="s">
        <v>45</v>
      </c>
      <c r="E27">
        <v>0.4</v>
      </c>
      <c r="F27" t="s">
        <v>46</v>
      </c>
      <c r="G27" t="s">
        <v>47</v>
      </c>
      <c r="H27" t="s">
        <v>45</v>
      </c>
      <c r="I27">
        <v>0.26619999999999999</v>
      </c>
      <c r="J27" t="s">
        <v>46</v>
      </c>
      <c r="K27" t="s">
        <v>48</v>
      </c>
      <c r="L27" t="s">
        <v>49</v>
      </c>
      <c r="M27" t="s">
        <v>50</v>
      </c>
      <c r="N27" t="s">
        <v>51</v>
      </c>
      <c r="O27">
        <v>3.45</v>
      </c>
      <c r="P27">
        <v>8.27</v>
      </c>
      <c r="Q27" t="s">
        <v>46</v>
      </c>
      <c r="R27" t="s">
        <v>52</v>
      </c>
      <c r="S27" t="s">
        <v>53</v>
      </c>
      <c r="T27" t="s">
        <v>46</v>
      </c>
      <c r="U27" t="s">
        <v>54</v>
      </c>
      <c r="V27" t="s">
        <v>55</v>
      </c>
      <c r="W27" t="s">
        <v>250</v>
      </c>
      <c r="X27" t="s">
        <v>212</v>
      </c>
      <c r="Y27">
        <v>1.43</v>
      </c>
      <c r="Z27" t="s">
        <v>46</v>
      </c>
      <c r="AA27" t="s">
        <v>58</v>
      </c>
      <c r="AB27" t="s">
        <v>59</v>
      </c>
      <c r="AC27">
        <v>282</v>
      </c>
      <c r="AD27" t="s">
        <v>46</v>
      </c>
      <c r="AE27" t="s">
        <v>60</v>
      </c>
      <c r="AF27" t="s">
        <v>45</v>
      </c>
      <c r="AG27" t="s">
        <v>46</v>
      </c>
      <c r="AH27" t="s">
        <v>61</v>
      </c>
      <c r="AI27" t="s">
        <v>48</v>
      </c>
      <c r="AJ27" t="s">
        <v>62</v>
      </c>
      <c r="AK27" t="s">
        <v>63</v>
      </c>
      <c r="AL27" t="s">
        <v>64</v>
      </c>
      <c r="AM27" t="s">
        <v>46</v>
      </c>
      <c r="AN27" t="s">
        <v>60</v>
      </c>
      <c r="AO27" t="s">
        <v>62</v>
      </c>
      <c r="AP27" t="s">
        <v>266</v>
      </c>
      <c r="AQ27" t="s">
        <v>66</v>
      </c>
      <c r="AR27" t="s">
        <v>67</v>
      </c>
    </row>
    <row r="28" spans="1:44">
      <c r="A28" s="1"/>
      <c r="B28" s="2"/>
      <c r="E28" s="3">
        <f>AVERAGE(log_v1_051524_tc_3[Column5])</f>
        <v>0.32157692307692309</v>
      </c>
      <c r="F28" s="3"/>
      <c r="G28" s="3"/>
      <c r="H28" s="3"/>
      <c r="I28" s="3">
        <f>AVERAGE(log_v1_051524_tc_3[Column9])</f>
        <v>0.25726538461538462</v>
      </c>
      <c r="O28">
        <f>AVERAGE(log_v1_051524_tc_3[Column15])</f>
        <v>3.450000000000002</v>
      </c>
      <c r="P28">
        <f>AVERAGE(log_v1_051524_tc_3[Column16])</f>
        <v>8.2700000000000031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1985-8D45-4876-A1FB-95AFDB9AF732}">
  <dimension ref="A1:AR412"/>
  <sheetViews>
    <sheetView topLeftCell="F401" workbookViewId="0">
      <selection activeCell="O412" sqref="O412:P412"/>
    </sheetView>
  </sheetViews>
  <sheetFormatPr defaultRowHeight="14.45"/>
  <cols>
    <col min="1" max="9" width="10.7109375" bestFit="1" customWidth="1"/>
    <col min="10" max="41" width="11.7109375" bestFit="1" customWidth="1"/>
    <col min="42" max="42" width="25.7109375" bestFit="1" customWidth="1"/>
    <col min="43" max="44" width="11.7109375" bestFit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45427</v>
      </c>
      <c r="B2" s="2">
        <v>0.23253472222222221</v>
      </c>
      <c r="C2" t="s">
        <v>44</v>
      </c>
      <c r="D2" t="s">
        <v>45</v>
      </c>
      <c r="E2">
        <v>0.161</v>
      </c>
      <c r="F2" t="s">
        <v>46</v>
      </c>
      <c r="G2" t="s">
        <v>47</v>
      </c>
      <c r="H2" t="s">
        <v>45</v>
      </c>
      <c r="I2">
        <v>0.26650000000000001</v>
      </c>
      <c r="J2" t="s">
        <v>46</v>
      </c>
      <c r="K2" t="s">
        <v>48</v>
      </c>
      <c r="L2" t="s">
        <v>49</v>
      </c>
      <c r="M2" t="s">
        <v>50</v>
      </c>
      <c r="N2" t="s">
        <v>51</v>
      </c>
      <c r="O2">
        <v>3.45</v>
      </c>
      <c r="P2">
        <v>8.27</v>
      </c>
      <c r="Q2" t="s">
        <v>46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232</v>
      </c>
      <c r="X2" t="s">
        <v>267</v>
      </c>
      <c r="Y2">
        <v>1.36</v>
      </c>
      <c r="Z2" t="s">
        <v>46</v>
      </c>
      <c r="AA2" t="s">
        <v>58</v>
      </c>
      <c r="AB2" t="s">
        <v>59</v>
      </c>
      <c r="AC2">
        <v>281</v>
      </c>
      <c r="AD2" t="s">
        <v>46</v>
      </c>
      <c r="AE2" t="s">
        <v>60</v>
      </c>
      <c r="AF2" t="s">
        <v>45</v>
      </c>
      <c r="AG2" t="s">
        <v>46</v>
      </c>
      <c r="AH2" t="s">
        <v>61</v>
      </c>
      <c r="AI2" t="s">
        <v>48</v>
      </c>
      <c r="AJ2" t="s">
        <v>62</v>
      </c>
      <c r="AK2" t="s">
        <v>63</v>
      </c>
      <c r="AL2" t="s">
        <v>64</v>
      </c>
      <c r="AM2" t="s">
        <v>46</v>
      </c>
      <c r="AN2" t="s">
        <v>60</v>
      </c>
      <c r="AO2" t="s">
        <v>62</v>
      </c>
      <c r="AP2" t="s">
        <v>268</v>
      </c>
      <c r="AQ2" t="s">
        <v>66</v>
      </c>
      <c r="AR2" t="s">
        <v>67</v>
      </c>
    </row>
    <row r="3" spans="1:44">
      <c r="A3" s="1">
        <v>45427</v>
      </c>
      <c r="B3" s="2">
        <v>0.23258101851851851</v>
      </c>
      <c r="C3" t="s">
        <v>44</v>
      </c>
      <c r="D3" t="s">
        <v>45</v>
      </c>
      <c r="E3">
        <v>0.28100000000000003</v>
      </c>
      <c r="F3" t="s">
        <v>46</v>
      </c>
      <c r="G3" t="s">
        <v>47</v>
      </c>
      <c r="H3" t="s">
        <v>45</v>
      </c>
      <c r="I3">
        <v>0.26669999999999999</v>
      </c>
      <c r="J3" t="s">
        <v>46</v>
      </c>
      <c r="K3" t="s">
        <v>48</v>
      </c>
      <c r="L3" t="s">
        <v>49</v>
      </c>
      <c r="M3" t="s">
        <v>50</v>
      </c>
      <c r="N3" t="s">
        <v>51</v>
      </c>
      <c r="O3">
        <v>3.45</v>
      </c>
      <c r="P3">
        <v>8.27</v>
      </c>
      <c r="Q3" t="s">
        <v>46</v>
      </c>
      <c r="R3" t="s">
        <v>52</v>
      </c>
      <c r="S3" t="s">
        <v>53</v>
      </c>
      <c r="T3" t="s">
        <v>46</v>
      </c>
      <c r="U3" t="s">
        <v>54</v>
      </c>
      <c r="V3" t="s">
        <v>55</v>
      </c>
      <c r="W3" t="s">
        <v>269</v>
      </c>
      <c r="X3" t="s">
        <v>171</v>
      </c>
      <c r="Y3">
        <v>1.37</v>
      </c>
      <c r="Z3" t="s">
        <v>46</v>
      </c>
      <c r="AA3" t="s">
        <v>58</v>
      </c>
      <c r="AB3" t="s">
        <v>59</v>
      </c>
      <c r="AC3">
        <v>282</v>
      </c>
      <c r="AD3" t="s">
        <v>46</v>
      </c>
      <c r="AE3" t="s">
        <v>60</v>
      </c>
      <c r="AF3" t="s">
        <v>45</v>
      </c>
      <c r="AG3" t="s">
        <v>46</v>
      </c>
      <c r="AH3" t="s">
        <v>61</v>
      </c>
      <c r="AI3" t="s">
        <v>48</v>
      </c>
      <c r="AJ3" t="s">
        <v>62</v>
      </c>
      <c r="AK3" t="s">
        <v>63</v>
      </c>
      <c r="AL3" t="s">
        <v>64</v>
      </c>
      <c r="AM3" t="s">
        <v>46</v>
      </c>
      <c r="AN3" t="s">
        <v>60</v>
      </c>
      <c r="AO3" t="s">
        <v>62</v>
      </c>
      <c r="AP3" t="s">
        <v>270</v>
      </c>
      <c r="AQ3" t="s">
        <v>66</v>
      </c>
      <c r="AR3" t="s">
        <v>67</v>
      </c>
    </row>
    <row r="4" spans="1:44">
      <c r="A4" s="1">
        <v>45427</v>
      </c>
      <c r="B4" s="2">
        <v>0.23262731481481483</v>
      </c>
      <c r="C4" t="s">
        <v>44</v>
      </c>
      <c r="D4" t="s">
        <v>45</v>
      </c>
      <c r="E4">
        <v>0.77100000000000002</v>
      </c>
      <c r="F4" t="s">
        <v>46</v>
      </c>
      <c r="G4" t="s">
        <v>47</v>
      </c>
      <c r="H4" t="s">
        <v>45</v>
      </c>
      <c r="I4">
        <v>0.26690000000000003</v>
      </c>
      <c r="J4" t="s">
        <v>46</v>
      </c>
      <c r="K4" t="s">
        <v>48</v>
      </c>
      <c r="L4" t="s">
        <v>49</v>
      </c>
      <c r="M4" t="s">
        <v>50</v>
      </c>
      <c r="N4" t="s">
        <v>51</v>
      </c>
      <c r="O4">
        <v>3.45</v>
      </c>
      <c r="P4">
        <v>8.27</v>
      </c>
      <c r="Q4" t="s">
        <v>46</v>
      </c>
      <c r="R4" t="s">
        <v>52</v>
      </c>
      <c r="S4" t="s">
        <v>53</v>
      </c>
      <c r="T4" t="s">
        <v>46</v>
      </c>
      <c r="U4" t="s">
        <v>54</v>
      </c>
      <c r="V4" t="s">
        <v>55</v>
      </c>
      <c r="W4" t="s">
        <v>271</v>
      </c>
      <c r="X4" t="s">
        <v>272</v>
      </c>
      <c r="Y4">
        <v>1.36</v>
      </c>
      <c r="Z4" t="s">
        <v>46</v>
      </c>
      <c r="AA4" t="s">
        <v>58</v>
      </c>
      <c r="AB4" t="s">
        <v>59</v>
      </c>
      <c r="AC4">
        <v>282</v>
      </c>
      <c r="AD4" t="s">
        <v>46</v>
      </c>
      <c r="AE4" t="s">
        <v>60</v>
      </c>
      <c r="AF4" t="s">
        <v>45</v>
      </c>
      <c r="AG4" t="s">
        <v>46</v>
      </c>
      <c r="AH4" t="s">
        <v>61</v>
      </c>
      <c r="AI4" t="s">
        <v>48</v>
      </c>
      <c r="AJ4" t="s">
        <v>62</v>
      </c>
      <c r="AK4" t="s">
        <v>63</v>
      </c>
      <c r="AL4" t="s">
        <v>64</v>
      </c>
      <c r="AM4" t="s">
        <v>46</v>
      </c>
      <c r="AN4" t="s">
        <v>60</v>
      </c>
      <c r="AO4" t="s">
        <v>62</v>
      </c>
      <c r="AP4" t="s">
        <v>273</v>
      </c>
      <c r="AQ4" t="s">
        <v>66</v>
      </c>
      <c r="AR4" t="s">
        <v>67</v>
      </c>
    </row>
    <row r="5" spans="1:44">
      <c r="A5" s="1">
        <v>45427</v>
      </c>
      <c r="B5" s="2">
        <v>0.23267361111111112</v>
      </c>
      <c r="C5" t="s">
        <v>44</v>
      </c>
      <c r="D5" t="s">
        <v>45</v>
      </c>
      <c r="E5">
        <v>0.84399999999999997</v>
      </c>
      <c r="F5" t="s">
        <v>46</v>
      </c>
      <c r="G5" t="s">
        <v>47</v>
      </c>
      <c r="H5" t="s">
        <v>45</v>
      </c>
      <c r="I5">
        <v>0.26879999999999998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>
        <v>3.45</v>
      </c>
      <c r="P5">
        <v>8.27</v>
      </c>
      <c r="Q5" t="s">
        <v>46</v>
      </c>
      <c r="R5" t="s">
        <v>52</v>
      </c>
      <c r="S5" t="s">
        <v>53</v>
      </c>
      <c r="T5" t="s">
        <v>46</v>
      </c>
      <c r="U5" t="s">
        <v>54</v>
      </c>
      <c r="V5" t="s">
        <v>55</v>
      </c>
      <c r="W5" t="s">
        <v>274</v>
      </c>
      <c r="X5" t="s">
        <v>272</v>
      </c>
      <c r="Y5">
        <v>1.36</v>
      </c>
      <c r="Z5" t="s">
        <v>46</v>
      </c>
      <c r="AA5" t="s">
        <v>58</v>
      </c>
      <c r="AB5" t="s">
        <v>59</v>
      </c>
      <c r="AC5">
        <v>283</v>
      </c>
      <c r="AD5" t="s">
        <v>46</v>
      </c>
      <c r="AE5" t="s">
        <v>60</v>
      </c>
      <c r="AF5" t="s">
        <v>45</v>
      </c>
      <c r="AG5" t="s">
        <v>46</v>
      </c>
      <c r="AH5" t="s">
        <v>61</v>
      </c>
      <c r="AI5" t="s">
        <v>48</v>
      </c>
      <c r="AJ5" t="s">
        <v>62</v>
      </c>
      <c r="AK5" t="s">
        <v>63</v>
      </c>
      <c r="AL5" t="s">
        <v>64</v>
      </c>
      <c r="AM5" t="s">
        <v>46</v>
      </c>
      <c r="AN5" t="s">
        <v>60</v>
      </c>
      <c r="AO5" t="s">
        <v>62</v>
      </c>
      <c r="AP5" t="s">
        <v>275</v>
      </c>
      <c r="AQ5" t="s">
        <v>66</v>
      </c>
      <c r="AR5" t="s">
        <v>67</v>
      </c>
    </row>
    <row r="6" spans="1:44">
      <c r="A6" s="1">
        <v>45427</v>
      </c>
      <c r="B6" s="2">
        <v>0.23273148148148148</v>
      </c>
      <c r="C6" t="s">
        <v>44</v>
      </c>
      <c r="D6" t="s">
        <v>45</v>
      </c>
      <c r="E6">
        <v>0.8</v>
      </c>
      <c r="F6" t="s">
        <v>46</v>
      </c>
      <c r="G6" t="s">
        <v>47</v>
      </c>
      <c r="H6" t="s">
        <v>45</v>
      </c>
      <c r="I6">
        <v>0.26879999999999998</v>
      </c>
      <c r="J6" t="s">
        <v>46</v>
      </c>
      <c r="K6" t="s">
        <v>48</v>
      </c>
      <c r="L6" t="s">
        <v>49</v>
      </c>
      <c r="M6" t="s">
        <v>50</v>
      </c>
      <c r="N6" t="s">
        <v>51</v>
      </c>
      <c r="O6">
        <v>3.45</v>
      </c>
      <c r="P6">
        <v>8.27</v>
      </c>
      <c r="Q6" t="s">
        <v>46</v>
      </c>
      <c r="R6" t="s">
        <v>52</v>
      </c>
      <c r="S6" t="s">
        <v>53</v>
      </c>
      <c r="T6" t="s">
        <v>46</v>
      </c>
      <c r="U6" t="s">
        <v>54</v>
      </c>
      <c r="V6" t="s">
        <v>55</v>
      </c>
      <c r="W6" t="s">
        <v>276</v>
      </c>
      <c r="X6" t="s">
        <v>277</v>
      </c>
      <c r="Y6">
        <v>1.35</v>
      </c>
      <c r="Z6" t="s">
        <v>46</v>
      </c>
      <c r="AA6" t="s">
        <v>58</v>
      </c>
      <c r="AB6" t="s">
        <v>59</v>
      </c>
      <c r="AC6">
        <v>283</v>
      </c>
      <c r="AD6" t="s">
        <v>46</v>
      </c>
      <c r="AE6" t="s">
        <v>60</v>
      </c>
      <c r="AF6" t="s">
        <v>45</v>
      </c>
      <c r="AG6" t="s">
        <v>46</v>
      </c>
      <c r="AH6" t="s">
        <v>61</v>
      </c>
      <c r="AI6" t="s">
        <v>48</v>
      </c>
      <c r="AJ6" t="s">
        <v>62</v>
      </c>
      <c r="AK6" t="s">
        <v>63</v>
      </c>
      <c r="AL6" t="s">
        <v>64</v>
      </c>
      <c r="AM6" t="s">
        <v>46</v>
      </c>
      <c r="AN6" t="s">
        <v>60</v>
      </c>
      <c r="AO6" t="s">
        <v>62</v>
      </c>
      <c r="AP6" t="s">
        <v>278</v>
      </c>
      <c r="AQ6" t="s">
        <v>66</v>
      </c>
      <c r="AR6" t="s">
        <v>67</v>
      </c>
    </row>
    <row r="7" spans="1:44">
      <c r="A7" s="1">
        <v>45427</v>
      </c>
      <c r="B7" s="2">
        <v>0.23277777777777778</v>
      </c>
      <c r="C7" t="s">
        <v>44</v>
      </c>
      <c r="D7" t="s">
        <v>45</v>
      </c>
      <c r="E7">
        <v>0.85699999999999998</v>
      </c>
      <c r="F7" t="s">
        <v>46</v>
      </c>
      <c r="G7" t="s">
        <v>47</v>
      </c>
      <c r="H7" t="s">
        <v>45</v>
      </c>
      <c r="I7">
        <v>0.28170000000000001</v>
      </c>
      <c r="J7" t="s">
        <v>46</v>
      </c>
      <c r="K7" t="s">
        <v>48</v>
      </c>
      <c r="L7" t="s">
        <v>49</v>
      </c>
      <c r="M7" t="s">
        <v>50</v>
      </c>
      <c r="N7" t="s">
        <v>51</v>
      </c>
      <c r="O7">
        <v>3.45</v>
      </c>
      <c r="P7">
        <v>8.27</v>
      </c>
      <c r="Q7" t="s">
        <v>46</v>
      </c>
      <c r="R7" t="s">
        <v>52</v>
      </c>
      <c r="S7" t="s">
        <v>53</v>
      </c>
      <c r="T7" t="s">
        <v>46</v>
      </c>
      <c r="U7" t="s">
        <v>54</v>
      </c>
      <c r="V7" t="s">
        <v>55</v>
      </c>
      <c r="W7" t="s">
        <v>274</v>
      </c>
      <c r="X7" t="s">
        <v>277</v>
      </c>
      <c r="Y7">
        <v>1.35</v>
      </c>
      <c r="Z7" t="s">
        <v>46</v>
      </c>
      <c r="AA7" t="s">
        <v>58</v>
      </c>
      <c r="AB7" t="s">
        <v>59</v>
      </c>
      <c r="AC7">
        <v>283</v>
      </c>
      <c r="AD7" t="s">
        <v>46</v>
      </c>
      <c r="AE7" t="s">
        <v>60</v>
      </c>
      <c r="AF7" t="s">
        <v>45</v>
      </c>
      <c r="AG7" t="s">
        <v>46</v>
      </c>
      <c r="AH7" t="s">
        <v>61</v>
      </c>
      <c r="AI7" t="s">
        <v>48</v>
      </c>
      <c r="AJ7" t="s">
        <v>62</v>
      </c>
      <c r="AK7" t="s">
        <v>63</v>
      </c>
      <c r="AL7" t="s">
        <v>64</v>
      </c>
      <c r="AM7" t="s">
        <v>46</v>
      </c>
      <c r="AN7" t="s">
        <v>60</v>
      </c>
      <c r="AO7" t="s">
        <v>62</v>
      </c>
      <c r="AP7" t="s">
        <v>279</v>
      </c>
      <c r="AQ7" t="s">
        <v>66</v>
      </c>
      <c r="AR7" t="s">
        <v>67</v>
      </c>
    </row>
    <row r="8" spans="1:44">
      <c r="A8" s="1">
        <v>45427</v>
      </c>
      <c r="B8" s="2">
        <v>0.23282407407407407</v>
      </c>
      <c r="C8" t="s">
        <v>44</v>
      </c>
      <c r="D8" t="s">
        <v>45</v>
      </c>
      <c r="E8">
        <v>0.75</v>
      </c>
      <c r="F8" t="s">
        <v>46</v>
      </c>
      <c r="G8" t="s">
        <v>47</v>
      </c>
      <c r="H8" t="s">
        <v>45</v>
      </c>
      <c r="I8">
        <v>0.28220000000000001</v>
      </c>
      <c r="J8" t="s">
        <v>46</v>
      </c>
      <c r="K8" t="s">
        <v>48</v>
      </c>
      <c r="L8" t="s">
        <v>49</v>
      </c>
      <c r="M8" t="s">
        <v>50</v>
      </c>
      <c r="N8" t="s">
        <v>51</v>
      </c>
      <c r="O8">
        <v>3.45</v>
      </c>
      <c r="P8">
        <v>8.27</v>
      </c>
      <c r="Q8" t="s">
        <v>46</v>
      </c>
      <c r="R8" t="s">
        <v>52</v>
      </c>
      <c r="S8" t="s">
        <v>53</v>
      </c>
      <c r="T8" t="s">
        <v>46</v>
      </c>
      <c r="U8" t="s">
        <v>54</v>
      </c>
      <c r="V8" t="s">
        <v>55</v>
      </c>
      <c r="W8" t="s">
        <v>274</v>
      </c>
      <c r="X8" t="s">
        <v>277</v>
      </c>
      <c r="Y8">
        <v>1.35</v>
      </c>
      <c r="Z8" t="s">
        <v>46</v>
      </c>
      <c r="AA8" t="s">
        <v>58</v>
      </c>
      <c r="AB8" t="s">
        <v>59</v>
      </c>
      <c r="AC8">
        <v>283</v>
      </c>
      <c r="AD8" t="s">
        <v>46</v>
      </c>
      <c r="AE8" t="s">
        <v>60</v>
      </c>
      <c r="AF8" t="s">
        <v>45</v>
      </c>
      <c r="AG8" t="s">
        <v>46</v>
      </c>
      <c r="AH8" t="s">
        <v>61</v>
      </c>
      <c r="AI8" t="s">
        <v>48</v>
      </c>
      <c r="AJ8" t="s">
        <v>62</v>
      </c>
      <c r="AK8" t="s">
        <v>63</v>
      </c>
      <c r="AL8" t="s">
        <v>64</v>
      </c>
      <c r="AM8" t="s">
        <v>46</v>
      </c>
      <c r="AN8" t="s">
        <v>60</v>
      </c>
      <c r="AO8" t="s">
        <v>62</v>
      </c>
      <c r="AP8" t="s">
        <v>280</v>
      </c>
      <c r="AQ8" t="s">
        <v>66</v>
      </c>
      <c r="AR8" t="s">
        <v>67</v>
      </c>
    </row>
    <row r="9" spans="1:44">
      <c r="A9" s="1">
        <v>45427</v>
      </c>
      <c r="B9" s="2">
        <v>0.23287037037037037</v>
      </c>
      <c r="C9" t="s">
        <v>44</v>
      </c>
      <c r="D9" t="s">
        <v>45</v>
      </c>
      <c r="E9">
        <v>0.54500000000000004</v>
      </c>
      <c r="F9" t="s">
        <v>46</v>
      </c>
      <c r="G9" t="s">
        <v>47</v>
      </c>
      <c r="H9" t="s">
        <v>45</v>
      </c>
      <c r="I9">
        <v>0.29520000000000002</v>
      </c>
      <c r="J9" t="s">
        <v>46</v>
      </c>
      <c r="K9" t="s">
        <v>48</v>
      </c>
      <c r="L9" t="s">
        <v>49</v>
      </c>
      <c r="M9" t="s">
        <v>50</v>
      </c>
      <c r="N9" t="s">
        <v>51</v>
      </c>
      <c r="O9">
        <v>3.45</v>
      </c>
      <c r="P9">
        <v>8.27</v>
      </c>
      <c r="Q9" t="s">
        <v>46</v>
      </c>
      <c r="R9" t="s">
        <v>52</v>
      </c>
      <c r="S9" t="s">
        <v>53</v>
      </c>
      <c r="T9" t="s">
        <v>46</v>
      </c>
      <c r="U9" t="s">
        <v>54</v>
      </c>
      <c r="V9" t="s">
        <v>55</v>
      </c>
      <c r="W9" t="s">
        <v>281</v>
      </c>
      <c r="X9" t="s">
        <v>277</v>
      </c>
      <c r="Y9">
        <v>1.35</v>
      </c>
      <c r="Z9" t="s">
        <v>46</v>
      </c>
      <c r="AA9" t="s">
        <v>58</v>
      </c>
      <c r="AB9" t="s">
        <v>59</v>
      </c>
      <c r="AC9">
        <v>283</v>
      </c>
      <c r="AD9" t="s">
        <v>46</v>
      </c>
      <c r="AE9" t="s">
        <v>60</v>
      </c>
      <c r="AF9" t="s">
        <v>45</v>
      </c>
      <c r="AG9" t="s">
        <v>46</v>
      </c>
      <c r="AH9" t="s">
        <v>61</v>
      </c>
      <c r="AI9" t="s">
        <v>48</v>
      </c>
      <c r="AJ9" t="s">
        <v>62</v>
      </c>
      <c r="AK9" t="s">
        <v>63</v>
      </c>
      <c r="AL9" t="s">
        <v>64</v>
      </c>
      <c r="AM9" t="s">
        <v>46</v>
      </c>
      <c r="AN9" t="s">
        <v>60</v>
      </c>
      <c r="AO9" t="s">
        <v>62</v>
      </c>
      <c r="AP9" t="s">
        <v>282</v>
      </c>
      <c r="AQ9" t="s">
        <v>66</v>
      </c>
      <c r="AR9" t="s">
        <v>67</v>
      </c>
    </row>
    <row r="10" spans="1:44">
      <c r="A10" s="1">
        <v>45427</v>
      </c>
      <c r="B10" s="2">
        <v>0.23292824074074073</v>
      </c>
      <c r="C10" t="s">
        <v>44</v>
      </c>
      <c r="D10" t="s">
        <v>45</v>
      </c>
      <c r="E10">
        <v>0.66700000000000004</v>
      </c>
      <c r="F10" t="s">
        <v>46</v>
      </c>
      <c r="G10" t="s">
        <v>47</v>
      </c>
      <c r="H10" t="s">
        <v>45</v>
      </c>
      <c r="I10">
        <v>0.29699999999999999</v>
      </c>
      <c r="J10" t="s">
        <v>46</v>
      </c>
      <c r="K10" t="s">
        <v>48</v>
      </c>
      <c r="L10" t="s">
        <v>49</v>
      </c>
      <c r="M10" t="s">
        <v>50</v>
      </c>
      <c r="N10" t="s">
        <v>51</v>
      </c>
      <c r="O10">
        <v>3.45</v>
      </c>
      <c r="P10">
        <v>8.27</v>
      </c>
      <c r="Q10" t="s">
        <v>46</v>
      </c>
      <c r="R10" t="s">
        <v>52</v>
      </c>
      <c r="S10" t="s">
        <v>53</v>
      </c>
      <c r="T10" t="s">
        <v>46</v>
      </c>
      <c r="U10" t="s">
        <v>54</v>
      </c>
      <c r="V10" t="s">
        <v>55</v>
      </c>
      <c r="W10" t="s">
        <v>181</v>
      </c>
      <c r="X10" t="s">
        <v>272</v>
      </c>
      <c r="Y10">
        <v>1.35</v>
      </c>
      <c r="Z10" t="s">
        <v>46</v>
      </c>
      <c r="AA10" t="s">
        <v>58</v>
      </c>
      <c r="AB10" t="s">
        <v>59</v>
      </c>
      <c r="AC10">
        <v>284</v>
      </c>
      <c r="AD10" t="s">
        <v>46</v>
      </c>
      <c r="AE10" t="s">
        <v>60</v>
      </c>
      <c r="AF10" t="s">
        <v>45</v>
      </c>
      <c r="AG10" t="s">
        <v>46</v>
      </c>
      <c r="AH10" t="s">
        <v>61</v>
      </c>
      <c r="AI10" t="s">
        <v>48</v>
      </c>
      <c r="AJ10" t="s">
        <v>62</v>
      </c>
      <c r="AK10" t="s">
        <v>63</v>
      </c>
      <c r="AL10" t="s">
        <v>64</v>
      </c>
      <c r="AM10" t="s">
        <v>46</v>
      </c>
      <c r="AN10" t="s">
        <v>60</v>
      </c>
      <c r="AO10" t="s">
        <v>62</v>
      </c>
      <c r="AP10" t="s">
        <v>283</v>
      </c>
      <c r="AQ10" t="s">
        <v>66</v>
      </c>
      <c r="AR10" t="s">
        <v>67</v>
      </c>
    </row>
    <row r="11" spans="1:44">
      <c r="A11" s="1">
        <v>45427</v>
      </c>
      <c r="B11" s="2">
        <v>0.23297453703703705</v>
      </c>
      <c r="C11" t="s">
        <v>44</v>
      </c>
      <c r="D11" t="s">
        <v>45</v>
      </c>
      <c r="E11">
        <v>0.45700000000000002</v>
      </c>
      <c r="F11" t="s">
        <v>46</v>
      </c>
      <c r="G11" t="s">
        <v>47</v>
      </c>
      <c r="H11" t="s">
        <v>45</v>
      </c>
      <c r="I11">
        <v>0.30520000000000003</v>
      </c>
      <c r="J11" t="s">
        <v>46</v>
      </c>
      <c r="K11" t="s">
        <v>48</v>
      </c>
      <c r="L11" t="s">
        <v>49</v>
      </c>
      <c r="M11" t="s">
        <v>50</v>
      </c>
      <c r="N11" t="s">
        <v>51</v>
      </c>
      <c r="O11">
        <v>3.45</v>
      </c>
      <c r="P11">
        <v>8.27</v>
      </c>
      <c r="Q11" t="s">
        <v>46</v>
      </c>
      <c r="R11" t="s">
        <v>52</v>
      </c>
      <c r="S11" t="s">
        <v>53</v>
      </c>
      <c r="T11" t="s">
        <v>46</v>
      </c>
      <c r="U11" t="s">
        <v>54</v>
      </c>
      <c r="V11" t="s">
        <v>55</v>
      </c>
      <c r="W11" t="s">
        <v>184</v>
      </c>
      <c r="X11" t="s">
        <v>215</v>
      </c>
      <c r="Y11">
        <v>1.34</v>
      </c>
      <c r="Z11" t="s">
        <v>46</v>
      </c>
      <c r="AA11" t="s">
        <v>58</v>
      </c>
      <c r="AB11" t="s">
        <v>59</v>
      </c>
      <c r="AC11">
        <v>283</v>
      </c>
      <c r="AD11" t="s">
        <v>46</v>
      </c>
      <c r="AE11" t="s">
        <v>60</v>
      </c>
      <c r="AF11" t="s">
        <v>45</v>
      </c>
      <c r="AG11" t="s">
        <v>46</v>
      </c>
      <c r="AH11" t="s">
        <v>61</v>
      </c>
      <c r="AI11" t="s">
        <v>48</v>
      </c>
      <c r="AJ11" t="s">
        <v>62</v>
      </c>
      <c r="AK11" t="s">
        <v>63</v>
      </c>
      <c r="AL11" t="s">
        <v>64</v>
      </c>
      <c r="AM11" t="s">
        <v>46</v>
      </c>
      <c r="AN11" t="s">
        <v>60</v>
      </c>
      <c r="AO11" t="s">
        <v>62</v>
      </c>
      <c r="AP11" t="s">
        <v>284</v>
      </c>
      <c r="AQ11" t="s">
        <v>66</v>
      </c>
      <c r="AR11" t="s">
        <v>67</v>
      </c>
    </row>
    <row r="12" spans="1:44">
      <c r="A12" s="1">
        <v>45427</v>
      </c>
      <c r="B12" s="2">
        <v>0.23302083333333334</v>
      </c>
      <c r="C12" t="s">
        <v>44</v>
      </c>
      <c r="D12" t="s">
        <v>45</v>
      </c>
      <c r="E12">
        <v>0.46899999999999997</v>
      </c>
      <c r="F12" t="s">
        <v>46</v>
      </c>
      <c r="G12" t="s">
        <v>47</v>
      </c>
      <c r="H12" t="s">
        <v>45</v>
      </c>
      <c r="I12">
        <v>0.30599999999999999</v>
      </c>
      <c r="J12" t="s">
        <v>46</v>
      </c>
      <c r="K12" t="s">
        <v>48</v>
      </c>
      <c r="L12" t="s">
        <v>49</v>
      </c>
      <c r="M12" t="s">
        <v>50</v>
      </c>
      <c r="N12" t="s">
        <v>51</v>
      </c>
      <c r="O12">
        <v>3.45</v>
      </c>
      <c r="P12">
        <v>8.27</v>
      </c>
      <c r="Q12" t="s">
        <v>46</v>
      </c>
      <c r="R12" t="s">
        <v>52</v>
      </c>
      <c r="S12" t="s">
        <v>53</v>
      </c>
      <c r="T12" t="s">
        <v>46</v>
      </c>
      <c r="U12" t="s">
        <v>54</v>
      </c>
      <c r="V12" t="s">
        <v>55</v>
      </c>
      <c r="W12" t="s">
        <v>285</v>
      </c>
      <c r="X12" t="s">
        <v>286</v>
      </c>
      <c r="Y12">
        <v>1.36</v>
      </c>
      <c r="Z12" t="s">
        <v>46</v>
      </c>
      <c r="AA12" t="s">
        <v>58</v>
      </c>
      <c r="AB12" t="s">
        <v>59</v>
      </c>
      <c r="AC12">
        <v>283</v>
      </c>
      <c r="AD12" t="s">
        <v>46</v>
      </c>
      <c r="AE12" t="s">
        <v>60</v>
      </c>
      <c r="AF12" t="s">
        <v>45</v>
      </c>
      <c r="AG12" t="s">
        <v>46</v>
      </c>
      <c r="AH12" t="s">
        <v>61</v>
      </c>
      <c r="AI12" t="s">
        <v>48</v>
      </c>
      <c r="AJ12" t="s">
        <v>62</v>
      </c>
      <c r="AK12" t="s">
        <v>63</v>
      </c>
      <c r="AL12" t="s">
        <v>64</v>
      </c>
      <c r="AM12" t="s">
        <v>46</v>
      </c>
      <c r="AN12" t="s">
        <v>60</v>
      </c>
      <c r="AO12" t="s">
        <v>62</v>
      </c>
      <c r="AP12" t="s">
        <v>287</v>
      </c>
      <c r="AQ12" t="s">
        <v>66</v>
      </c>
      <c r="AR12" t="s">
        <v>67</v>
      </c>
    </row>
    <row r="13" spans="1:44">
      <c r="A13" s="1">
        <v>45427</v>
      </c>
      <c r="B13" s="2">
        <v>0.23306712962962964</v>
      </c>
      <c r="C13" t="s">
        <v>44</v>
      </c>
      <c r="D13" t="s">
        <v>45</v>
      </c>
      <c r="E13">
        <v>0.80600000000000005</v>
      </c>
      <c r="F13" t="s">
        <v>46</v>
      </c>
      <c r="G13" t="s">
        <v>47</v>
      </c>
      <c r="H13" t="s">
        <v>45</v>
      </c>
      <c r="I13">
        <v>0.30630000000000002</v>
      </c>
      <c r="J13" t="s">
        <v>46</v>
      </c>
      <c r="K13" t="s">
        <v>48</v>
      </c>
      <c r="L13" t="s">
        <v>49</v>
      </c>
      <c r="M13" t="s">
        <v>50</v>
      </c>
      <c r="N13" t="s">
        <v>51</v>
      </c>
      <c r="O13">
        <v>3.45</v>
      </c>
      <c r="P13">
        <v>8.27</v>
      </c>
      <c r="Q13" t="s">
        <v>46</v>
      </c>
      <c r="R13" t="s">
        <v>52</v>
      </c>
      <c r="S13" t="s">
        <v>53</v>
      </c>
      <c r="T13" t="s">
        <v>46</v>
      </c>
      <c r="U13" t="s">
        <v>54</v>
      </c>
      <c r="V13" t="s">
        <v>55</v>
      </c>
      <c r="W13" t="s">
        <v>263</v>
      </c>
      <c r="X13" t="s">
        <v>286</v>
      </c>
      <c r="Y13">
        <v>1.35</v>
      </c>
      <c r="Z13" t="s">
        <v>46</v>
      </c>
      <c r="AA13" t="s">
        <v>58</v>
      </c>
      <c r="AB13" t="s">
        <v>59</v>
      </c>
      <c r="AC13">
        <v>283</v>
      </c>
      <c r="AD13" t="s">
        <v>46</v>
      </c>
      <c r="AE13" t="s">
        <v>60</v>
      </c>
      <c r="AF13" t="s">
        <v>45</v>
      </c>
      <c r="AG13" t="s">
        <v>46</v>
      </c>
      <c r="AH13" t="s">
        <v>61</v>
      </c>
      <c r="AI13" t="s">
        <v>48</v>
      </c>
      <c r="AJ13" t="s">
        <v>62</v>
      </c>
      <c r="AK13" t="s">
        <v>63</v>
      </c>
      <c r="AL13" t="s">
        <v>64</v>
      </c>
      <c r="AM13" t="s">
        <v>46</v>
      </c>
      <c r="AN13" t="s">
        <v>60</v>
      </c>
      <c r="AO13" t="s">
        <v>62</v>
      </c>
      <c r="AP13" t="s">
        <v>288</v>
      </c>
      <c r="AQ13" t="s">
        <v>66</v>
      </c>
      <c r="AR13" t="s">
        <v>67</v>
      </c>
    </row>
    <row r="14" spans="1:44">
      <c r="A14" s="1">
        <v>45427</v>
      </c>
      <c r="B14" s="2">
        <v>0.233125</v>
      </c>
      <c r="C14" t="s">
        <v>44</v>
      </c>
      <c r="D14" t="s">
        <v>45</v>
      </c>
      <c r="E14">
        <v>0.39400000000000002</v>
      </c>
      <c r="F14" t="s">
        <v>46</v>
      </c>
      <c r="G14" t="s">
        <v>47</v>
      </c>
      <c r="H14" t="s">
        <v>45</v>
      </c>
      <c r="I14">
        <v>0.30649999999999999</v>
      </c>
      <c r="J14" t="s">
        <v>46</v>
      </c>
      <c r="K14" t="s">
        <v>48</v>
      </c>
      <c r="L14" t="s">
        <v>49</v>
      </c>
      <c r="M14" t="s">
        <v>50</v>
      </c>
      <c r="N14" t="s">
        <v>51</v>
      </c>
      <c r="O14">
        <v>3.45</v>
      </c>
      <c r="P14">
        <v>8.27</v>
      </c>
      <c r="Q14" t="s">
        <v>46</v>
      </c>
      <c r="R14" t="s">
        <v>52</v>
      </c>
      <c r="S14" t="s">
        <v>53</v>
      </c>
      <c r="T14" t="s">
        <v>46</v>
      </c>
      <c r="U14" t="s">
        <v>54</v>
      </c>
      <c r="V14" t="s">
        <v>55</v>
      </c>
      <c r="W14" t="s">
        <v>106</v>
      </c>
      <c r="X14" t="s">
        <v>289</v>
      </c>
      <c r="Y14">
        <v>1.37</v>
      </c>
      <c r="Z14" t="s">
        <v>46</v>
      </c>
      <c r="AA14" t="s">
        <v>58</v>
      </c>
      <c r="AB14" t="s">
        <v>59</v>
      </c>
      <c r="AC14">
        <v>283</v>
      </c>
      <c r="AD14" t="s">
        <v>46</v>
      </c>
      <c r="AE14" t="s">
        <v>60</v>
      </c>
      <c r="AF14" t="s">
        <v>45</v>
      </c>
      <c r="AG14" t="s">
        <v>46</v>
      </c>
      <c r="AH14" t="s">
        <v>61</v>
      </c>
      <c r="AI14" t="s">
        <v>48</v>
      </c>
      <c r="AJ14" t="s">
        <v>62</v>
      </c>
      <c r="AK14" t="s">
        <v>63</v>
      </c>
      <c r="AL14" t="s">
        <v>64</v>
      </c>
      <c r="AM14" t="s">
        <v>46</v>
      </c>
      <c r="AN14" t="s">
        <v>60</v>
      </c>
      <c r="AO14" t="s">
        <v>62</v>
      </c>
      <c r="AP14" t="s">
        <v>290</v>
      </c>
      <c r="AQ14" t="s">
        <v>66</v>
      </c>
      <c r="AR14" t="s">
        <v>67</v>
      </c>
    </row>
    <row r="15" spans="1:44">
      <c r="A15" s="1">
        <v>45427</v>
      </c>
      <c r="B15" s="2">
        <v>0.23317129629629629</v>
      </c>
      <c r="C15" t="s">
        <v>44</v>
      </c>
      <c r="D15" t="s">
        <v>45</v>
      </c>
      <c r="E15">
        <v>0.94099999999999995</v>
      </c>
      <c r="F15" t="s">
        <v>46</v>
      </c>
      <c r="G15" t="s">
        <v>47</v>
      </c>
      <c r="H15" t="s">
        <v>45</v>
      </c>
      <c r="I15">
        <v>0.30659999999999998</v>
      </c>
      <c r="J15" t="s">
        <v>46</v>
      </c>
      <c r="K15" t="s">
        <v>48</v>
      </c>
      <c r="L15" t="s">
        <v>49</v>
      </c>
      <c r="M15" t="s">
        <v>50</v>
      </c>
      <c r="N15" t="s">
        <v>51</v>
      </c>
      <c r="O15">
        <v>3.45</v>
      </c>
      <c r="P15">
        <v>8.27</v>
      </c>
      <c r="Q15" t="s">
        <v>46</v>
      </c>
      <c r="R15" t="s">
        <v>52</v>
      </c>
      <c r="S15" t="s">
        <v>53</v>
      </c>
      <c r="T15" t="s">
        <v>46</v>
      </c>
      <c r="U15" t="s">
        <v>54</v>
      </c>
      <c r="V15" t="s">
        <v>55</v>
      </c>
      <c r="W15" t="s">
        <v>106</v>
      </c>
      <c r="X15" t="s">
        <v>289</v>
      </c>
      <c r="Y15">
        <v>1.37</v>
      </c>
      <c r="Z15" t="s">
        <v>46</v>
      </c>
      <c r="AA15" t="s">
        <v>58</v>
      </c>
      <c r="AB15" t="s">
        <v>59</v>
      </c>
      <c r="AC15">
        <v>284</v>
      </c>
      <c r="AD15" t="s">
        <v>46</v>
      </c>
      <c r="AE15" t="s">
        <v>60</v>
      </c>
      <c r="AF15" t="s">
        <v>45</v>
      </c>
      <c r="AG15" t="s">
        <v>46</v>
      </c>
      <c r="AH15" t="s">
        <v>61</v>
      </c>
      <c r="AI15" t="s">
        <v>48</v>
      </c>
      <c r="AJ15" t="s">
        <v>62</v>
      </c>
      <c r="AK15" t="s">
        <v>63</v>
      </c>
      <c r="AL15" t="s">
        <v>64</v>
      </c>
      <c r="AM15" t="s">
        <v>46</v>
      </c>
      <c r="AN15" t="s">
        <v>60</v>
      </c>
      <c r="AO15" t="s">
        <v>62</v>
      </c>
      <c r="AP15" t="s">
        <v>291</v>
      </c>
      <c r="AQ15" t="s">
        <v>66</v>
      </c>
      <c r="AR15" t="s">
        <v>67</v>
      </c>
    </row>
    <row r="16" spans="1:44">
      <c r="A16" s="1">
        <v>45427</v>
      </c>
      <c r="B16" s="2">
        <v>0.23321759259259259</v>
      </c>
      <c r="C16" t="s">
        <v>44</v>
      </c>
      <c r="D16" t="s">
        <v>45</v>
      </c>
      <c r="E16">
        <v>0.38700000000000001</v>
      </c>
      <c r="F16" t="s">
        <v>46</v>
      </c>
      <c r="G16" t="s">
        <v>47</v>
      </c>
      <c r="H16" t="s">
        <v>45</v>
      </c>
      <c r="I16">
        <v>0.30690000000000001</v>
      </c>
      <c r="J16" t="s">
        <v>46</v>
      </c>
      <c r="K16" t="s">
        <v>48</v>
      </c>
      <c r="L16" t="s">
        <v>49</v>
      </c>
      <c r="M16" t="s">
        <v>50</v>
      </c>
      <c r="N16" t="s">
        <v>51</v>
      </c>
      <c r="O16">
        <v>3.45</v>
      </c>
      <c r="P16">
        <v>8.27</v>
      </c>
      <c r="Q16" t="s">
        <v>46</v>
      </c>
      <c r="R16" t="s">
        <v>52</v>
      </c>
      <c r="S16" t="s">
        <v>53</v>
      </c>
      <c r="T16" t="s">
        <v>46</v>
      </c>
      <c r="U16" t="s">
        <v>54</v>
      </c>
      <c r="V16" t="s">
        <v>55</v>
      </c>
      <c r="W16" t="s">
        <v>292</v>
      </c>
      <c r="X16" t="s">
        <v>247</v>
      </c>
      <c r="Y16">
        <v>1.38</v>
      </c>
      <c r="Z16" t="s">
        <v>46</v>
      </c>
      <c r="AA16" t="s">
        <v>58</v>
      </c>
      <c r="AB16" t="s">
        <v>59</v>
      </c>
      <c r="AC16">
        <v>283</v>
      </c>
      <c r="AD16" t="s">
        <v>46</v>
      </c>
      <c r="AE16" t="s">
        <v>60</v>
      </c>
      <c r="AF16" t="s">
        <v>45</v>
      </c>
      <c r="AG16" t="s">
        <v>46</v>
      </c>
      <c r="AH16" t="s">
        <v>61</v>
      </c>
      <c r="AI16" t="s">
        <v>48</v>
      </c>
      <c r="AJ16" t="s">
        <v>62</v>
      </c>
      <c r="AK16" t="s">
        <v>63</v>
      </c>
      <c r="AL16" t="s">
        <v>64</v>
      </c>
      <c r="AM16" t="s">
        <v>46</v>
      </c>
      <c r="AN16" t="s">
        <v>60</v>
      </c>
      <c r="AO16" t="s">
        <v>62</v>
      </c>
      <c r="AP16" t="s">
        <v>293</v>
      </c>
      <c r="AQ16" t="s">
        <v>66</v>
      </c>
      <c r="AR16" t="s">
        <v>67</v>
      </c>
    </row>
    <row r="17" spans="1:44">
      <c r="A17" s="1">
        <v>45427</v>
      </c>
      <c r="B17" s="2">
        <v>0.23326388888888888</v>
      </c>
      <c r="C17" t="s">
        <v>44</v>
      </c>
      <c r="D17" t="s">
        <v>45</v>
      </c>
      <c r="E17">
        <v>0.441</v>
      </c>
      <c r="F17" t="s">
        <v>46</v>
      </c>
      <c r="G17" t="s">
        <v>47</v>
      </c>
      <c r="H17" t="s">
        <v>45</v>
      </c>
      <c r="I17">
        <v>0.307</v>
      </c>
      <c r="J17" t="s">
        <v>46</v>
      </c>
      <c r="K17" t="s">
        <v>48</v>
      </c>
      <c r="L17" t="s">
        <v>49</v>
      </c>
      <c r="M17" t="s">
        <v>50</v>
      </c>
      <c r="N17" t="s">
        <v>51</v>
      </c>
      <c r="O17">
        <v>3.45</v>
      </c>
      <c r="P17">
        <v>8.27</v>
      </c>
      <c r="Q17" t="s">
        <v>46</v>
      </c>
      <c r="R17" t="s">
        <v>52</v>
      </c>
      <c r="S17" t="s">
        <v>53</v>
      </c>
      <c r="T17" t="s">
        <v>46</v>
      </c>
      <c r="U17" t="s">
        <v>54</v>
      </c>
      <c r="V17" t="s">
        <v>55</v>
      </c>
      <c r="W17" t="s">
        <v>68</v>
      </c>
      <c r="X17" t="s">
        <v>244</v>
      </c>
      <c r="Y17">
        <v>1.38</v>
      </c>
      <c r="Z17" t="s">
        <v>46</v>
      </c>
      <c r="AA17" t="s">
        <v>58</v>
      </c>
      <c r="AB17" t="s">
        <v>59</v>
      </c>
      <c r="AC17">
        <v>283</v>
      </c>
      <c r="AD17" t="s">
        <v>46</v>
      </c>
      <c r="AE17" t="s">
        <v>60</v>
      </c>
      <c r="AF17" t="s">
        <v>45</v>
      </c>
      <c r="AG17" t="s">
        <v>46</v>
      </c>
      <c r="AH17" t="s">
        <v>61</v>
      </c>
      <c r="AI17" t="s">
        <v>48</v>
      </c>
      <c r="AJ17" t="s">
        <v>62</v>
      </c>
      <c r="AK17" t="s">
        <v>63</v>
      </c>
      <c r="AL17" t="s">
        <v>64</v>
      </c>
      <c r="AM17" t="s">
        <v>46</v>
      </c>
      <c r="AN17" t="s">
        <v>60</v>
      </c>
      <c r="AO17" t="s">
        <v>62</v>
      </c>
      <c r="AP17" t="s">
        <v>294</v>
      </c>
      <c r="AQ17" t="s">
        <v>66</v>
      </c>
      <c r="AR17" t="s">
        <v>67</v>
      </c>
    </row>
    <row r="18" spans="1:44">
      <c r="A18" s="1">
        <v>45427</v>
      </c>
      <c r="B18" s="2">
        <v>0.23332175925925927</v>
      </c>
      <c r="C18" t="s">
        <v>44</v>
      </c>
      <c r="D18" t="s">
        <v>45</v>
      </c>
      <c r="E18">
        <v>0.82399999999999995</v>
      </c>
      <c r="F18" t="s">
        <v>46</v>
      </c>
      <c r="G18" t="s">
        <v>47</v>
      </c>
      <c r="H18" t="s">
        <v>45</v>
      </c>
      <c r="I18">
        <v>0.30740000000000001</v>
      </c>
      <c r="J18" t="s">
        <v>46</v>
      </c>
      <c r="K18" t="s">
        <v>48</v>
      </c>
      <c r="L18" t="s">
        <v>49</v>
      </c>
      <c r="M18" t="s">
        <v>50</v>
      </c>
      <c r="N18" t="s">
        <v>51</v>
      </c>
      <c r="O18">
        <v>3.45</v>
      </c>
      <c r="P18">
        <v>8.27</v>
      </c>
      <c r="Q18" t="s">
        <v>46</v>
      </c>
      <c r="R18" t="s">
        <v>52</v>
      </c>
      <c r="S18" t="s">
        <v>53</v>
      </c>
      <c r="T18" t="s">
        <v>46</v>
      </c>
      <c r="U18" t="s">
        <v>54</v>
      </c>
      <c r="V18" t="s">
        <v>55</v>
      </c>
      <c r="W18" t="s">
        <v>85</v>
      </c>
      <c r="X18" t="s">
        <v>210</v>
      </c>
      <c r="Y18">
        <v>1.37</v>
      </c>
      <c r="Z18" t="s">
        <v>46</v>
      </c>
      <c r="AA18" t="s">
        <v>58</v>
      </c>
      <c r="AB18" t="s">
        <v>59</v>
      </c>
      <c r="AC18">
        <v>284</v>
      </c>
      <c r="AD18" t="s">
        <v>46</v>
      </c>
      <c r="AE18" t="s">
        <v>60</v>
      </c>
      <c r="AF18" t="s">
        <v>45</v>
      </c>
      <c r="AG18" t="s">
        <v>46</v>
      </c>
      <c r="AH18" t="s">
        <v>61</v>
      </c>
      <c r="AI18" t="s">
        <v>48</v>
      </c>
      <c r="AJ18" t="s">
        <v>62</v>
      </c>
      <c r="AK18" t="s">
        <v>63</v>
      </c>
      <c r="AL18" t="s">
        <v>64</v>
      </c>
      <c r="AM18" t="s">
        <v>46</v>
      </c>
      <c r="AN18" t="s">
        <v>60</v>
      </c>
      <c r="AO18" t="s">
        <v>62</v>
      </c>
      <c r="AP18" t="s">
        <v>295</v>
      </c>
      <c r="AQ18" t="s">
        <v>66</v>
      </c>
      <c r="AR18" t="s">
        <v>67</v>
      </c>
    </row>
    <row r="19" spans="1:44">
      <c r="A19" s="1">
        <v>45427</v>
      </c>
      <c r="B19" s="2">
        <v>0.23336805555555556</v>
      </c>
      <c r="C19" t="s">
        <v>44</v>
      </c>
      <c r="D19" t="s">
        <v>45</v>
      </c>
      <c r="E19">
        <v>1</v>
      </c>
      <c r="F19" t="s">
        <v>46</v>
      </c>
      <c r="G19" t="s">
        <v>47</v>
      </c>
      <c r="H19" t="s">
        <v>45</v>
      </c>
      <c r="I19">
        <v>0.30730000000000002</v>
      </c>
      <c r="J19" t="s">
        <v>46</v>
      </c>
      <c r="K19" t="s">
        <v>48</v>
      </c>
      <c r="L19" t="s">
        <v>49</v>
      </c>
      <c r="M19" t="s">
        <v>50</v>
      </c>
      <c r="N19" t="s">
        <v>51</v>
      </c>
      <c r="O19">
        <v>3.45</v>
      </c>
      <c r="P19">
        <v>8.27</v>
      </c>
      <c r="Q19" t="s">
        <v>46</v>
      </c>
      <c r="R19" t="s">
        <v>52</v>
      </c>
      <c r="S19" t="s">
        <v>53</v>
      </c>
      <c r="T19" t="s">
        <v>46</v>
      </c>
      <c r="U19" t="s">
        <v>54</v>
      </c>
      <c r="V19" t="s">
        <v>55</v>
      </c>
      <c r="W19" t="s">
        <v>152</v>
      </c>
      <c r="X19" t="s">
        <v>244</v>
      </c>
      <c r="Y19">
        <v>1.38</v>
      </c>
      <c r="Z19" t="s">
        <v>46</v>
      </c>
      <c r="AA19" t="s">
        <v>58</v>
      </c>
      <c r="AB19" t="s">
        <v>59</v>
      </c>
      <c r="AC19">
        <v>283</v>
      </c>
      <c r="AD19" t="s">
        <v>46</v>
      </c>
      <c r="AE19" t="s">
        <v>60</v>
      </c>
      <c r="AF19" t="s">
        <v>45</v>
      </c>
      <c r="AG19" t="s">
        <v>46</v>
      </c>
      <c r="AH19" t="s">
        <v>61</v>
      </c>
      <c r="AI19" t="s">
        <v>48</v>
      </c>
      <c r="AJ19" t="s">
        <v>62</v>
      </c>
      <c r="AK19" t="s">
        <v>63</v>
      </c>
      <c r="AL19" t="s">
        <v>64</v>
      </c>
      <c r="AM19" t="s">
        <v>46</v>
      </c>
      <c r="AN19" t="s">
        <v>60</v>
      </c>
      <c r="AO19" t="s">
        <v>62</v>
      </c>
      <c r="AP19" t="s">
        <v>296</v>
      </c>
      <c r="AQ19" t="s">
        <v>66</v>
      </c>
      <c r="AR19" t="s">
        <v>67</v>
      </c>
    </row>
    <row r="20" spans="1:44">
      <c r="A20" s="1">
        <v>45427</v>
      </c>
      <c r="B20" s="2">
        <v>0.23341435185185186</v>
      </c>
      <c r="C20" t="s">
        <v>44</v>
      </c>
      <c r="D20" t="s">
        <v>45</v>
      </c>
      <c r="E20">
        <v>0.35299999999999998</v>
      </c>
      <c r="F20" t="s">
        <v>46</v>
      </c>
      <c r="G20" t="s">
        <v>47</v>
      </c>
      <c r="H20" t="s">
        <v>45</v>
      </c>
      <c r="I20">
        <v>0.30709999999999998</v>
      </c>
      <c r="J20" t="s">
        <v>46</v>
      </c>
      <c r="K20" t="s">
        <v>48</v>
      </c>
      <c r="L20" t="s">
        <v>49</v>
      </c>
      <c r="M20" t="s">
        <v>50</v>
      </c>
      <c r="N20" t="s">
        <v>51</v>
      </c>
      <c r="O20">
        <v>3.45</v>
      </c>
      <c r="P20">
        <v>8.27</v>
      </c>
      <c r="Q20" t="s">
        <v>46</v>
      </c>
      <c r="R20" t="s">
        <v>52</v>
      </c>
      <c r="S20" t="s">
        <v>53</v>
      </c>
      <c r="T20" t="s">
        <v>46</v>
      </c>
      <c r="U20" t="s">
        <v>54</v>
      </c>
      <c r="V20" t="s">
        <v>55</v>
      </c>
      <c r="W20" t="s">
        <v>297</v>
      </c>
      <c r="X20" t="s">
        <v>244</v>
      </c>
      <c r="Y20">
        <v>1.37</v>
      </c>
      <c r="Z20" t="s">
        <v>46</v>
      </c>
      <c r="AA20" t="s">
        <v>58</v>
      </c>
      <c r="AB20" t="s">
        <v>59</v>
      </c>
      <c r="AC20">
        <v>283</v>
      </c>
      <c r="AD20" t="s">
        <v>46</v>
      </c>
      <c r="AE20" t="s">
        <v>60</v>
      </c>
      <c r="AF20" t="s">
        <v>45</v>
      </c>
      <c r="AG20" t="s">
        <v>46</v>
      </c>
      <c r="AH20" t="s">
        <v>61</v>
      </c>
      <c r="AI20" t="s">
        <v>48</v>
      </c>
      <c r="AJ20" t="s">
        <v>62</v>
      </c>
      <c r="AK20" t="s">
        <v>63</v>
      </c>
      <c r="AL20" t="s">
        <v>64</v>
      </c>
      <c r="AM20" t="s">
        <v>46</v>
      </c>
      <c r="AN20" t="s">
        <v>60</v>
      </c>
      <c r="AO20" t="s">
        <v>62</v>
      </c>
      <c r="AP20" t="s">
        <v>298</v>
      </c>
      <c r="AQ20" t="s">
        <v>66</v>
      </c>
      <c r="AR20" t="s">
        <v>67</v>
      </c>
    </row>
    <row r="21" spans="1:44">
      <c r="A21" s="1">
        <v>45427</v>
      </c>
      <c r="B21" s="2">
        <v>0.23346064814814815</v>
      </c>
      <c r="C21" t="s">
        <v>44</v>
      </c>
      <c r="D21" t="s">
        <v>45</v>
      </c>
      <c r="E21">
        <v>0.59399999999999997</v>
      </c>
      <c r="F21" t="s">
        <v>46</v>
      </c>
      <c r="G21" t="s">
        <v>47</v>
      </c>
      <c r="H21" t="s">
        <v>45</v>
      </c>
      <c r="I21">
        <v>0.30709999999999998</v>
      </c>
      <c r="J21" t="s">
        <v>46</v>
      </c>
      <c r="K21" t="s">
        <v>48</v>
      </c>
      <c r="L21" t="s">
        <v>49</v>
      </c>
      <c r="M21" t="s">
        <v>50</v>
      </c>
      <c r="N21" t="s">
        <v>51</v>
      </c>
      <c r="O21">
        <v>3.45</v>
      </c>
      <c r="P21">
        <v>8.27</v>
      </c>
      <c r="Q21" t="s">
        <v>46</v>
      </c>
      <c r="R21" t="s">
        <v>52</v>
      </c>
      <c r="S21" t="s">
        <v>53</v>
      </c>
      <c r="T21" t="s">
        <v>46</v>
      </c>
      <c r="U21" t="s">
        <v>54</v>
      </c>
      <c r="V21" t="s">
        <v>55</v>
      </c>
      <c r="W21" t="s">
        <v>297</v>
      </c>
      <c r="X21" t="s">
        <v>244</v>
      </c>
      <c r="Y21">
        <v>1.37</v>
      </c>
      <c r="Z21" t="s">
        <v>46</v>
      </c>
      <c r="AA21" t="s">
        <v>58</v>
      </c>
      <c r="AB21" t="s">
        <v>59</v>
      </c>
      <c r="AC21">
        <v>283</v>
      </c>
      <c r="AD21" t="s">
        <v>46</v>
      </c>
      <c r="AE21" t="s">
        <v>60</v>
      </c>
      <c r="AF21" t="s">
        <v>45</v>
      </c>
      <c r="AG21" t="s">
        <v>46</v>
      </c>
      <c r="AH21" t="s">
        <v>61</v>
      </c>
      <c r="AI21" t="s">
        <v>48</v>
      </c>
      <c r="AJ21" t="s">
        <v>62</v>
      </c>
      <c r="AK21" t="s">
        <v>63</v>
      </c>
      <c r="AL21" t="s">
        <v>64</v>
      </c>
      <c r="AM21" t="s">
        <v>46</v>
      </c>
      <c r="AN21" t="s">
        <v>60</v>
      </c>
      <c r="AO21" t="s">
        <v>62</v>
      </c>
      <c r="AP21" t="s">
        <v>299</v>
      </c>
      <c r="AQ21" t="s">
        <v>66</v>
      </c>
      <c r="AR21" t="s">
        <v>67</v>
      </c>
    </row>
    <row r="22" spans="1:44">
      <c r="A22" s="1">
        <v>45427</v>
      </c>
      <c r="B22" s="2">
        <v>0.23351851851851851</v>
      </c>
      <c r="C22" t="s">
        <v>44</v>
      </c>
      <c r="D22" t="s">
        <v>45</v>
      </c>
      <c r="E22">
        <v>0.52800000000000002</v>
      </c>
      <c r="F22" t="s">
        <v>46</v>
      </c>
      <c r="G22" t="s">
        <v>47</v>
      </c>
      <c r="H22" t="s">
        <v>45</v>
      </c>
      <c r="I22">
        <v>0.30759999999999998</v>
      </c>
      <c r="J22" t="s">
        <v>46</v>
      </c>
      <c r="K22" t="s">
        <v>48</v>
      </c>
      <c r="L22" t="s">
        <v>49</v>
      </c>
      <c r="M22" t="s">
        <v>50</v>
      </c>
      <c r="N22" t="s">
        <v>51</v>
      </c>
      <c r="O22">
        <v>3.45</v>
      </c>
      <c r="P22">
        <v>8.27</v>
      </c>
      <c r="Q22" t="s">
        <v>46</v>
      </c>
      <c r="R22" t="s">
        <v>52</v>
      </c>
      <c r="S22" t="s">
        <v>53</v>
      </c>
      <c r="T22" t="s">
        <v>46</v>
      </c>
      <c r="U22" t="s">
        <v>54</v>
      </c>
      <c r="V22" t="s">
        <v>55</v>
      </c>
      <c r="W22" t="s">
        <v>300</v>
      </c>
      <c r="X22" t="s">
        <v>244</v>
      </c>
      <c r="Y22">
        <v>1.37</v>
      </c>
      <c r="Z22" t="s">
        <v>46</v>
      </c>
      <c r="AA22" t="s">
        <v>58</v>
      </c>
      <c r="AB22" t="s">
        <v>59</v>
      </c>
      <c r="AC22">
        <v>283</v>
      </c>
      <c r="AD22" t="s">
        <v>46</v>
      </c>
      <c r="AE22" t="s">
        <v>60</v>
      </c>
      <c r="AF22" t="s">
        <v>45</v>
      </c>
      <c r="AG22" t="s">
        <v>46</v>
      </c>
      <c r="AH22" t="s">
        <v>61</v>
      </c>
      <c r="AI22" t="s">
        <v>48</v>
      </c>
      <c r="AJ22" t="s">
        <v>62</v>
      </c>
      <c r="AK22" t="s">
        <v>63</v>
      </c>
      <c r="AL22" t="s">
        <v>64</v>
      </c>
      <c r="AM22" t="s">
        <v>46</v>
      </c>
      <c r="AN22" t="s">
        <v>60</v>
      </c>
      <c r="AO22" t="s">
        <v>62</v>
      </c>
      <c r="AP22" t="s">
        <v>301</v>
      </c>
      <c r="AQ22" t="s">
        <v>66</v>
      </c>
      <c r="AR22" t="s">
        <v>67</v>
      </c>
    </row>
    <row r="23" spans="1:44">
      <c r="A23" s="1">
        <v>45427</v>
      </c>
      <c r="B23" s="2">
        <v>0.23356481481481481</v>
      </c>
      <c r="C23" t="s">
        <v>44</v>
      </c>
      <c r="D23" t="s">
        <v>45</v>
      </c>
      <c r="E23">
        <v>0.42399999999999999</v>
      </c>
      <c r="F23" t="s">
        <v>46</v>
      </c>
      <c r="G23" t="s">
        <v>47</v>
      </c>
      <c r="H23" t="s">
        <v>45</v>
      </c>
      <c r="I23">
        <v>0.308</v>
      </c>
      <c r="J23" t="s">
        <v>46</v>
      </c>
      <c r="K23" t="s">
        <v>48</v>
      </c>
      <c r="L23" t="s">
        <v>49</v>
      </c>
      <c r="M23" t="s">
        <v>50</v>
      </c>
      <c r="N23" t="s">
        <v>51</v>
      </c>
      <c r="O23">
        <v>3.45</v>
      </c>
      <c r="P23">
        <v>8.27</v>
      </c>
      <c r="Q23" t="s">
        <v>46</v>
      </c>
      <c r="R23" t="s">
        <v>52</v>
      </c>
      <c r="S23" t="s">
        <v>53</v>
      </c>
      <c r="T23" t="s">
        <v>46</v>
      </c>
      <c r="U23" t="s">
        <v>54</v>
      </c>
      <c r="V23" t="s">
        <v>55</v>
      </c>
      <c r="W23" t="s">
        <v>85</v>
      </c>
      <c r="X23" t="s">
        <v>244</v>
      </c>
      <c r="Y23">
        <v>1.37</v>
      </c>
      <c r="Z23" t="s">
        <v>46</v>
      </c>
      <c r="AA23" t="s">
        <v>58</v>
      </c>
      <c r="AB23" t="s">
        <v>59</v>
      </c>
      <c r="AC23">
        <v>283</v>
      </c>
      <c r="AD23" t="s">
        <v>46</v>
      </c>
      <c r="AE23" t="s">
        <v>60</v>
      </c>
      <c r="AF23" t="s">
        <v>45</v>
      </c>
      <c r="AG23" t="s">
        <v>46</v>
      </c>
      <c r="AH23" t="s">
        <v>61</v>
      </c>
      <c r="AI23" t="s">
        <v>48</v>
      </c>
      <c r="AJ23" t="s">
        <v>62</v>
      </c>
      <c r="AK23" t="s">
        <v>63</v>
      </c>
      <c r="AL23" t="s">
        <v>64</v>
      </c>
      <c r="AM23" t="s">
        <v>46</v>
      </c>
      <c r="AN23" t="s">
        <v>60</v>
      </c>
      <c r="AO23" t="s">
        <v>62</v>
      </c>
      <c r="AP23" t="s">
        <v>302</v>
      </c>
      <c r="AQ23" t="s">
        <v>66</v>
      </c>
      <c r="AR23" t="s">
        <v>67</v>
      </c>
    </row>
    <row r="24" spans="1:44">
      <c r="A24" s="1">
        <v>45427</v>
      </c>
      <c r="B24" s="2">
        <v>0.2336111111111111</v>
      </c>
      <c r="C24" t="s">
        <v>44</v>
      </c>
      <c r="D24" t="s">
        <v>45</v>
      </c>
      <c r="E24">
        <v>0.63900000000000001</v>
      </c>
      <c r="F24" t="s">
        <v>46</v>
      </c>
      <c r="G24" t="s">
        <v>47</v>
      </c>
      <c r="H24" t="s">
        <v>45</v>
      </c>
      <c r="I24">
        <v>0.30790000000000001</v>
      </c>
      <c r="J24" t="s">
        <v>46</v>
      </c>
      <c r="K24" t="s">
        <v>48</v>
      </c>
      <c r="L24" t="s">
        <v>49</v>
      </c>
      <c r="M24" t="s">
        <v>50</v>
      </c>
      <c r="N24" t="s">
        <v>51</v>
      </c>
      <c r="O24">
        <v>3.45</v>
      </c>
      <c r="P24">
        <v>8.27</v>
      </c>
      <c r="Q24" t="s">
        <v>46</v>
      </c>
      <c r="R24" t="s">
        <v>52</v>
      </c>
      <c r="S24" t="s">
        <v>53</v>
      </c>
      <c r="T24" t="s">
        <v>46</v>
      </c>
      <c r="U24" t="s">
        <v>54</v>
      </c>
      <c r="V24" t="s">
        <v>55</v>
      </c>
      <c r="W24" t="s">
        <v>88</v>
      </c>
      <c r="X24" t="s">
        <v>244</v>
      </c>
      <c r="Y24">
        <v>1.37</v>
      </c>
      <c r="Z24" t="s">
        <v>46</v>
      </c>
      <c r="AA24" t="s">
        <v>58</v>
      </c>
      <c r="AB24" t="s">
        <v>59</v>
      </c>
      <c r="AC24">
        <v>283</v>
      </c>
      <c r="AD24" t="s">
        <v>46</v>
      </c>
      <c r="AE24" t="s">
        <v>60</v>
      </c>
      <c r="AF24" t="s">
        <v>45</v>
      </c>
      <c r="AG24" t="s">
        <v>46</v>
      </c>
      <c r="AH24" t="s">
        <v>61</v>
      </c>
      <c r="AI24" t="s">
        <v>48</v>
      </c>
      <c r="AJ24" t="s">
        <v>62</v>
      </c>
      <c r="AK24" t="s">
        <v>63</v>
      </c>
      <c r="AL24" t="s">
        <v>64</v>
      </c>
      <c r="AM24" t="s">
        <v>46</v>
      </c>
      <c r="AN24" t="s">
        <v>60</v>
      </c>
      <c r="AO24" t="s">
        <v>62</v>
      </c>
      <c r="AP24" t="s">
        <v>303</v>
      </c>
      <c r="AQ24" t="s">
        <v>66</v>
      </c>
      <c r="AR24" t="s">
        <v>67</v>
      </c>
    </row>
    <row r="25" spans="1:44">
      <c r="A25" s="1">
        <v>45427</v>
      </c>
      <c r="B25" s="2">
        <v>0.2336574074074074</v>
      </c>
      <c r="C25" t="s">
        <v>44</v>
      </c>
      <c r="D25" t="s">
        <v>45</v>
      </c>
      <c r="E25">
        <v>0.38200000000000001</v>
      </c>
      <c r="F25" t="s">
        <v>46</v>
      </c>
      <c r="G25" t="s">
        <v>47</v>
      </c>
      <c r="H25" t="s">
        <v>45</v>
      </c>
      <c r="I25">
        <v>0.30819999999999997</v>
      </c>
      <c r="J25" t="s">
        <v>46</v>
      </c>
      <c r="K25" t="s">
        <v>48</v>
      </c>
      <c r="L25" t="s">
        <v>49</v>
      </c>
      <c r="M25" t="s">
        <v>50</v>
      </c>
      <c r="N25" t="s">
        <v>51</v>
      </c>
      <c r="O25">
        <v>3.45</v>
      </c>
      <c r="P25">
        <v>8.27</v>
      </c>
      <c r="Q25" t="s">
        <v>46</v>
      </c>
      <c r="R25" t="s">
        <v>52</v>
      </c>
      <c r="S25" t="s">
        <v>53</v>
      </c>
      <c r="T25" t="s">
        <v>46</v>
      </c>
      <c r="U25" t="s">
        <v>54</v>
      </c>
      <c r="V25" t="s">
        <v>55</v>
      </c>
      <c r="W25" t="s">
        <v>112</v>
      </c>
      <c r="X25" t="s">
        <v>241</v>
      </c>
      <c r="Y25">
        <v>1.37</v>
      </c>
      <c r="Z25" t="s">
        <v>46</v>
      </c>
      <c r="AA25" t="s">
        <v>58</v>
      </c>
      <c r="AB25" t="s">
        <v>59</v>
      </c>
      <c r="AC25">
        <v>283</v>
      </c>
      <c r="AD25" t="s">
        <v>46</v>
      </c>
      <c r="AE25" t="s">
        <v>60</v>
      </c>
      <c r="AF25" t="s">
        <v>45</v>
      </c>
      <c r="AG25" t="s">
        <v>46</v>
      </c>
      <c r="AH25" t="s">
        <v>61</v>
      </c>
      <c r="AI25" t="s">
        <v>48</v>
      </c>
      <c r="AJ25" t="s">
        <v>62</v>
      </c>
      <c r="AK25" t="s">
        <v>63</v>
      </c>
      <c r="AL25" t="s">
        <v>64</v>
      </c>
      <c r="AM25" t="s">
        <v>46</v>
      </c>
      <c r="AN25" t="s">
        <v>60</v>
      </c>
      <c r="AO25" t="s">
        <v>62</v>
      </c>
      <c r="AP25" t="s">
        <v>304</v>
      </c>
      <c r="AQ25" t="s">
        <v>66</v>
      </c>
      <c r="AR25" t="s">
        <v>67</v>
      </c>
    </row>
    <row r="26" spans="1:44">
      <c r="A26" s="1">
        <v>45427</v>
      </c>
      <c r="B26" s="2">
        <v>0.23371527777777779</v>
      </c>
      <c r="C26" t="s">
        <v>44</v>
      </c>
      <c r="D26" t="s">
        <v>45</v>
      </c>
      <c r="E26">
        <v>0.34399999999999997</v>
      </c>
      <c r="F26" t="s">
        <v>46</v>
      </c>
      <c r="G26" t="s">
        <v>47</v>
      </c>
      <c r="H26" t="s">
        <v>45</v>
      </c>
      <c r="I26">
        <v>0.308</v>
      </c>
      <c r="J26" t="s">
        <v>46</v>
      </c>
      <c r="K26" t="s">
        <v>48</v>
      </c>
      <c r="L26" t="s">
        <v>49</v>
      </c>
      <c r="M26" t="s">
        <v>50</v>
      </c>
      <c r="N26" t="s">
        <v>51</v>
      </c>
      <c r="O26">
        <v>3.45</v>
      </c>
      <c r="P26">
        <v>8.27</v>
      </c>
      <c r="Q26" t="s">
        <v>46</v>
      </c>
      <c r="R26" t="s">
        <v>52</v>
      </c>
      <c r="S26" t="s">
        <v>53</v>
      </c>
      <c r="T26" t="s">
        <v>46</v>
      </c>
      <c r="U26" t="s">
        <v>54</v>
      </c>
      <c r="V26" t="s">
        <v>55</v>
      </c>
      <c r="W26" t="s">
        <v>305</v>
      </c>
      <c r="X26" t="s">
        <v>244</v>
      </c>
      <c r="Y26">
        <v>1.36</v>
      </c>
      <c r="Z26" t="s">
        <v>46</v>
      </c>
      <c r="AA26" t="s">
        <v>58</v>
      </c>
      <c r="AB26" t="s">
        <v>59</v>
      </c>
      <c r="AC26">
        <v>283</v>
      </c>
      <c r="AD26" t="s">
        <v>46</v>
      </c>
      <c r="AE26" t="s">
        <v>60</v>
      </c>
      <c r="AF26" t="s">
        <v>45</v>
      </c>
      <c r="AG26" t="s">
        <v>46</v>
      </c>
      <c r="AH26" t="s">
        <v>61</v>
      </c>
      <c r="AI26" t="s">
        <v>48</v>
      </c>
      <c r="AJ26" t="s">
        <v>62</v>
      </c>
      <c r="AK26" t="s">
        <v>63</v>
      </c>
      <c r="AL26" t="s">
        <v>64</v>
      </c>
      <c r="AM26" t="s">
        <v>46</v>
      </c>
      <c r="AN26" t="s">
        <v>60</v>
      </c>
      <c r="AO26" t="s">
        <v>62</v>
      </c>
      <c r="AP26" t="s">
        <v>306</v>
      </c>
      <c r="AQ26" t="s">
        <v>66</v>
      </c>
      <c r="AR26" t="s">
        <v>67</v>
      </c>
    </row>
    <row r="27" spans="1:44">
      <c r="A27" s="1">
        <v>45427</v>
      </c>
      <c r="B27" s="2">
        <v>0.23376157407407408</v>
      </c>
      <c r="C27" t="s">
        <v>44</v>
      </c>
      <c r="D27" t="s">
        <v>45</v>
      </c>
      <c r="E27">
        <v>0.58099999999999996</v>
      </c>
      <c r="F27" t="s">
        <v>46</v>
      </c>
      <c r="G27" t="s">
        <v>47</v>
      </c>
      <c r="H27" t="s">
        <v>45</v>
      </c>
      <c r="I27">
        <v>0.308</v>
      </c>
      <c r="J27" t="s">
        <v>46</v>
      </c>
      <c r="K27" t="s">
        <v>48</v>
      </c>
      <c r="L27" t="s">
        <v>49</v>
      </c>
      <c r="M27" t="s">
        <v>50</v>
      </c>
      <c r="N27" t="s">
        <v>51</v>
      </c>
      <c r="O27">
        <v>3.45</v>
      </c>
      <c r="P27">
        <v>8.27</v>
      </c>
      <c r="Q27" t="s">
        <v>46</v>
      </c>
      <c r="R27" t="s">
        <v>52</v>
      </c>
      <c r="S27" t="s">
        <v>53</v>
      </c>
      <c r="T27" t="s">
        <v>46</v>
      </c>
      <c r="U27" t="s">
        <v>54</v>
      </c>
      <c r="V27" t="s">
        <v>55</v>
      </c>
      <c r="W27" t="s">
        <v>116</v>
      </c>
      <c r="X27" t="s">
        <v>244</v>
      </c>
      <c r="Y27">
        <v>1.36</v>
      </c>
      <c r="Z27" t="s">
        <v>46</v>
      </c>
      <c r="AA27" t="s">
        <v>58</v>
      </c>
      <c r="AB27" t="s">
        <v>59</v>
      </c>
      <c r="AC27">
        <v>283</v>
      </c>
      <c r="AD27" t="s">
        <v>46</v>
      </c>
      <c r="AE27" t="s">
        <v>60</v>
      </c>
      <c r="AF27" t="s">
        <v>45</v>
      </c>
      <c r="AG27" t="s">
        <v>46</v>
      </c>
      <c r="AH27" t="s">
        <v>61</v>
      </c>
      <c r="AI27" t="s">
        <v>48</v>
      </c>
      <c r="AJ27" t="s">
        <v>62</v>
      </c>
      <c r="AK27" t="s">
        <v>63</v>
      </c>
      <c r="AL27" t="s">
        <v>64</v>
      </c>
      <c r="AM27" t="s">
        <v>46</v>
      </c>
      <c r="AN27" t="s">
        <v>60</v>
      </c>
      <c r="AO27" t="s">
        <v>62</v>
      </c>
      <c r="AP27" t="s">
        <v>307</v>
      </c>
      <c r="AQ27" t="s">
        <v>66</v>
      </c>
      <c r="AR27" t="s">
        <v>67</v>
      </c>
    </row>
    <row r="28" spans="1:44">
      <c r="A28" s="1">
        <v>45427</v>
      </c>
      <c r="B28" s="2">
        <v>0.23380787037037037</v>
      </c>
      <c r="C28" t="s">
        <v>44</v>
      </c>
      <c r="D28" t="s">
        <v>45</v>
      </c>
      <c r="E28">
        <v>0.48399999999999999</v>
      </c>
      <c r="F28" t="s">
        <v>46</v>
      </c>
      <c r="G28" t="s">
        <v>47</v>
      </c>
      <c r="H28" t="s">
        <v>45</v>
      </c>
      <c r="I28">
        <v>0.30819999999999997</v>
      </c>
      <c r="J28" t="s">
        <v>46</v>
      </c>
      <c r="K28" t="s">
        <v>48</v>
      </c>
      <c r="L28" t="s">
        <v>49</v>
      </c>
      <c r="M28" t="s">
        <v>50</v>
      </c>
      <c r="N28" t="s">
        <v>51</v>
      </c>
      <c r="O28">
        <v>3.45</v>
      </c>
      <c r="P28">
        <v>8.27</v>
      </c>
      <c r="Q28" t="s">
        <v>46</v>
      </c>
      <c r="R28" t="s">
        <v>52</v>
      </c>
      <c r="S28" t="s">
        <v>53</v>
      </c>
      <c r="T28" t="s">
        <v>46</v>
      </c>
      <c r="U28" t="s">
        <v>54</v>
      </c>
      <c r="V28" t="s">
        <v>55</v>
      </c>
      <c r="W28" t="s">
        <v>116</v>
      </c>
      <c r="X28" t="s">
        <v>244</v>
      </c>
      <c r="Y28">
        <v>1.36</v>
      </c>
      <c r="Z28" t="s">
        <v>46</v>
      </c>
      <c r="AA28" t="s">
        <v>58</v>
      </c>
      <c r="AB28" t="s">
        <v>59</v>
      </c>
      <c r="AC28">
        <v>283</v>
      </c>
      <c r="AD28" t="s">
        <v>46</v>
      </c>
      <c r="AE28" t="s">
        <v>60</v>
      </c>
      <c r="AF28" t="s">
        <v>45</v>
      </c>
      <c r="AG28" t="s">
        <v>46</v>
      </c>
      <c r="AH28" t="s">
        <v>61</v>
      </c>
      <c r="AI28" t="s">
        <v>48</v>
      </c>
      <c r="AJ28" t="s">
        <v>62</v>
      </c>
      <c r="AK28" t="s">
        <v>63</v>
      </c>
      <c r="AL28" t="s">
        <v>64</v>
      </c>
      <c r="AM28" t="s">
        <v>46</v>
      </c>
      <c r="AN28" t="s">
        <v>60</v>
      </c>
      <c r="AO28" t="s">
        <v>62</v>
      </c>
      <c r="AP28" t="s">
        <v>308</v>
      </c>
      <c r="AQ28" t="s">
        <v>66</v>
      </c>
      <c r="AR28" t="s">
        <v>67</v>
      </c>
    </row>
    <row r="29" spans="1:44">
      <c r="A29" s="1">
        <v>45427</v>
      </c>
      <c r="B29" s="2">
        <v>0.23385416666666667</v>
      </c>
      <c r="C29" t="s">
        <v>44</v>
      </c>
      <c r="D29" t="s">
        <v>45</v>
      </c>
      <c r="E29">
        <v>0.82899999999999996</v>
      </c>
      <c r="F29" t="s">
        <v>46</v>
      </c>
      <c r="G29" t="s">
        <v>47</v>
      </c>
      <c r="H29" t="s">
        <v>45</v>
      </c>
      <c r="I29">
        <v>0.30819999999999997</v>
      </c>
      <c r="J29" t="s">
        <v>46</v>
      </c>
      <c r="K29" t="s">
        <v>48</v>
      </c>
      <c r="L29" t="s">
        <v>49</v>
      </c>
      <c r="M29" t="s">
        <v>50</v>
      </c>
      <c r="N29" t="s">
        <v>51</v>
      </c>
      <c r="O29">
        <v>3.45</v>
      </c>
      <c r="P29">
        <v>8.27</v>
      </c>
      <c r="Q29" t="s">
        <v>46</v>
      </c>
      <c r="R29" t="s">
        <v>52</v>
      </c>
      <c r="S29" t="s">
        <v>53</v>
      </c>
      <c r="T29" t="s">
        <v>46</v>
      </c>
      <c r="U29" t="s">
        <v>54</v>
      </c>
      <c r="V29" t="s">
        <v>55</v>
      </c>
      <c r="W29" t="s">
        <v>119</v>
      </c>
      <c r="X29" t="s">
        <v>247</v>
      </c>
      <c r="Y29">
        <v>1.35</v>
      </c>
      <c r="Z29" t="s">
        <v>46</v>
      </c>
      <c r="AA29" t="s">
        <v>58</v>
      </c>
      <c r="AB29" t="s">
        <v>59</v>
      </c>
      <c r="AC29">
        <v>283</v>
      </c>
      <c r="AD29" t="s">
        <v>46</v>
      </c>
      <c r="AE29" t="s">
        <v>60</v>
      </c>
      <c r="AF29" t="s">
        <v>45</v>
      </c>
      <c r="AG29" t="s">
        <v>46</v>
      </c>
      <c r="AH29" t="s">
        <v>61</v>
      </c>
      <c r="AI29" t="s">
        <v>48</v>
      </c>
      <c r="AJ29" t="s">
        <v>62</v>
      </c>
      <c r="AK29" t="s">
        <v>63</v>
      </c>
      <c r="AL29" t="s">
        <v>64</v>
      </c>
      <c r="AM29" t="s">
        <v>46</v>
      </c>
      <c r="AN29" t="s">
        <v>60</v>
      </c>
      <c r="AO29" t="s">
        <v>62</v>
      </c>
      <c r="AP29" t="s">
        <v>309</v>
      </c>
      <c r="AQ29" t="s">
        <v>66</v>
      </c>
      <c r="AR29" t="s">
        <v>67</v>
      </c>
    </row>
    <row r="30" spans="1:44">
      <c r="A30" s="1">
        <v>45427</v>
      </c>
      <c r="B30" s="2">
        <v>0.23390046296296296</v>
      </c>
      <c r="C30" t="s">
        <v>44</v>
      </c>
      <c r="D30" t="s">
        <v>45</v>
      </c>
      <c r="E30">
        <v>0.63600000000000001</v>
      </c>
      <c r="F30" t="s">
        <v>46</v>
      </c>
      <c r="G30" t="s">
        <v>47</v>
      </c>
      <c r="H30" t="s">
        <v>45</v>
      </c>
      <c r="I30">
        <v>0.30819999999999997</v>
      </c>
      <c r="J30" t="s">
        <v>46</v>
      </c>
      <c r="K30" t="s">
        <v>48</v>
      </c>
      <c r="L30" t="s">
        <v>49</v>
      </c>
      <c r="M30" t="s">
        <v>50</v>
      </c>
      <c r="N30" t="s">
        <v>51</v>
      </c>
      <c r="O30">
        <v>3.45</v>
      </c>
      <c r="P30">
        <v>8.27</v>
      </c>
      <c r="Q30" t="s">
        <v>46</v>
      </c>
      <c r="R30" t="s">
        <v>52</v>
      </c>
      <c r="S30" t="s">
        <v>53</v>
      </c>
      <c r="T30" t="s">
        <v>46</v>
      </c>
      <c r="U30" t="s">
        <v>54</v>
      </c>
      <c r="V30" t="s">
        <v>55</v>
      </c>
      <c r="W30" t="s">
        <v>310</v>
      </c>
      <c r="X30" t="s">
        <v>247</v>
      </c>
      <c r="Y30">
        <v>1.35</v>
      </c>
      <c r="Z30" t="s">
        <v>46</v>
      </c>
      <c r="AA30" t="s">
        <v>58</v>
      </c>
      <c r="AB30" t="s">
        <v>59</v>
      </c>
      <c r="AC30">
        <v>283</v>
      </c>
      <c r="AD30" t="s">
        <v>46</v>
      </c>
      <c r="AE30" t="s">
        <v>60</v>
      </c>
      <c r="AF30" t="s">
        <v>45</v>
      </c>
      <c r="AG30" t="s">
        <v>46</v>
      </c>
      <c r="AH30" t="s">
        <v>61</v>
      </c>
      <c r="AI30" t="s">
        <v>48</v>
      </c>
      <c r="AJ30" t="s">
        <v>62</v>
      </c>
      <c r="AK30" t="s">
        <v>63</v>
      </c>
      <c r="AL30" t="s">
        <v>64</v>
      </c>
      <c r="AM30" t="s">
        <v>46</v>
      </c>
      <c r="AN30" t="s">
        <v>60</v>
      </c>
      <c r="AO30" t="s">
        <v>62</v>
      </c>
      <c r="AP30" t="s">
        <v>311</v>
      </c>
      <c r="AQ30" t="s">
        <v>66</v>
      </c>
      <c r="AR30" t="s">
        <v>67</v>
      </c>
    </row>
    <row r="31" spans="1:44">
      <c r="A31" s="1">
        <v>45427</v>
      </c>
      <c r="B31" s="2">
        <v>0.23395833333333332</v>
      </c>
      <c r="C31" t="s">
        <v>44</v>
      </c>
      <c r="D31" t="s">
        <v>45</v>
      </c>
      <c r="E31">
        <v>0.441</v>
      </c>
      <c r="F31" t="s">
        <v>46</v>
      </c>
      <c r="G31" t="s">
        <v>47</v>
      </c>
      <c r="H31" t="s">
        <v>45</v>
      </c>
      <c r="I31">
        <v>0.30819999999999997</v>
      </c>
      <c r="J31" t="s">
        <v>46</v>
      </c>
      <c r="K31" t="s">
        <v>48</v>
      </c>
      <c r="L31" t="s">
        <v>49</v>
      </c>
      <c r="M31" t="s">
        <v>50</v>
      </c>
      <c r="N31" t="s">
        <v>51</v>
      </c>
      <c r="O31">
        <v>3.45</v>
      </c>
      <c r="P31">
        <v>8.27</v>
      </c>
      <c r="Q31" t="s">
        <v>46</v>
      </c>
      <c r="R31" t="s">
        <v>52</v>
      </c>
      <c r="S31" t="s">
        <v>53</v>
      </c>
      <c r="T31" t="s">
        <v>46</v>
      </c>
      <c r="U31" t="s">
        <v>54</v>
      </c>
      <c r="V31" t="s">
        <v>55</v>
      </c>
      <c r="W31" t="s">
        <v>310</v>
      </c>
      <c r="X31" t="s">
        <v>247</v>
      </c>
      <c r="Y31">
        <v>1.35</v>
      </c>
      <c r="Z31" t="s">
        <v>46</v>
      </c>
      <c r="AA31" t="s">
        <v>58</v>
      </c>
      <c r="AB31" t="s">
        <v>59</v>
      </c>
      <c r="AC31">
        <v>283</v>
      </c>
      <c r="AD31" t="s">
        <v>46</v>
      </c>
      <c r="AE31" t="s">
        <v>60</v>
      </c>
      <c r="AF31" t="s">
        <v>45</v>
      </c>
      <c r="AG31" t="s">
        <v>46</v>
      </c>
      <c r="AH31" t="s">
        <v>61</v>
      </c>
      <c r="AI31" t="s">
        <v>48</v>
      </c>
      <c r="AJ31" t="s">
        <v>62</v>
      </c>
      <c r="AK31" t="s">
        <v>63</v>
      </c>
      <c r="AL31" t="s">
        <v>64</v>
      </c>
      <c r="AM31" t="s">
        <v>46</v>
      </c>
      <c r="AN31" t="s">
        <v>60</v>
      </c>
      <c r="AO31" t="s">
        <v>62</v>
      </c>
      <c r="AP31" t="s">
        <v>312</v>
      </c>
      <c r="AQ31" t="s">
        <v>66</v>
      </c>
      <c r="AR31" t="s">
        <v>67</v>
      </c>
    </row>
    <row r="32" spans="1:44">
      <c r="A32" s="1">
        <v>45427</v>
      </c>
      <c r="B32" s="2">
        <v>0.23400462962962962</v>
      </c>
      <c r="C32" t="s">
        <v>44</v>
      </c>
      <c r="D32" t="s">
        <v>45</v>
      </c>
      <c r="E32">
        <v>0.42399999999999999</v>
      </c>
      <c r="F32" t="s">
        <v>46</v>
      </c>
      <c r="G32" t="s">
        <v>47</v>
      </c>
      <c r="H32" t="s">
        <v>45</v>
      </c>
      <c r="I32">
        <v>0.30830000000000002</v>
      </c>
      <c r="J32" t="s">
        <v>46</v>
      </c>
      <c r="K32" t="s">
        <v>48</v>
      </c>
      <c r="L32" t="s">
        <v>49</v>
      </c>
      <c r="M32" t="s">
        <v>50</v>
      </c>
      <c r="N32" t="s">
        <v>51</v>
      </c>
      <c r="O32">
        <v>3.45</v>
      </c>
      <c r="P32">
        <v>8.27</v>
      </c>
      <c r="Q32" t="s">
        <v>46</v>
      </c>
      <c r="R32" t="s">
        <v>52</v>
      </c>
      <c r="S32" t="s">
        <v>53</v>
      </c>
      <c r="T32" t="s">
        <v>46</v>
      </c>
      <c r="U32" t="s">
        <v>54</v>
      </c>
      <c r="V32" t="s">
        <v>55</v>
      </c>
      <c r="W32" t="s">
        <v>221</v>
      </c>
      <c r="X32" t="s">
        <v>247</v>
      </c>
      <c r="Y32">
        <v>1.35</v>
      </c>
      <c r="Z32" t="s">
        <v>46</v>
      </c>
      <c r="AA32" t="s">
        <v>58</v>
      </c>
      <c r="AB32" t="s">
        <v>59</v>
      </c>
      <c r="AC32">
        <v>283</v>
      </c>
      <c r="AD32" t="s">
        <v>46</v>
      </c>
      <c r="AE32" t="s">
        <v>60</v>
      </c>
      <c r="AF32" t="s">
        <v>45</v>
      </c>
      <c r="AG32" t="s">
        <v>46</v>
      </c>
      <c r="AH32" t="s">
        <v>61</v>
      </c>
      <c r="AI32" t="s">
        <v>48</v>
      </c>
      <c r="AJ32" t="s">
        <v>62</v>
      </c>
      <c r="AK32" t="s">
        <v>63</v>
      </c>
      <c r="AL32" t="s">
        <v>64</v>
      </c>
      <c r="AM32" t="s">
        <v>46</v>
      </c>
      <c r="AN32" t="s">
        <v>60</v>
      </c>
      <c r="AO32" t="s">
        <v>62</v>
      </c>
      <c r="AP32" t="s">
        <v>313</v>
      </c>
      <c r="AQ32" t="s">
        <v>66</v>
      </c>
      <c r="AR32" t="s">
        <v>67</v>
      </c>
    </row>
    <row r="33" spans="1:44">
      <c r="A33" s="1">
        <v>45427</v>
      </c>
      <c r="B33" s="2">
        <v>0.23405092592592591</v>
      </c>
      <c r="C33" t="s">
        <v>44</v>
      </c>
      <c r="D33" t="s">
        <v>45</v>
      </c>
      <c r="E33">
        <v>0.94099999999999995</v>
      </c>
      <c r="F33" t="s">
        <v>46</v>
      </c>
      <c r="G33" t="s">
        <v>47</v>
      </c>
      <c r="H33" t="s">
        <v>45</v>
      </c>
      <c r="I33">
        <v>0.30809999999999998</v>
      </c>
      <c r="J33" t="s">
        <v>46</v>
      </c>
      <c r="K33" t="s">
        <v>48</v>
      </c>
      <c r="L33" t="s">
        <v>49</v>
      </c>
      <c r="M33" t="s">
        <v>50</v>
      </c>
      <c r="N33" t="s">
        <v>51</v>
      </c>
      <c r="O33">
        <v>3.45</v>
      </c>
      <c r="P33">
        <v>8.27</v>
      </c>
      <c r="Q33" t="s">
        <v>46</v>
      </c>
      <c r="R33" t="s">
        <v>52</v>
      </c>
      <c r="S33" t="s">
        <v>53</v>
      </c>
      <c r="T33" t="s">
        <v>46</v>
      </c>
      <c r="U33" t="s">
        <v>54</v>
      </c>
      <c r="V33" t="s">
        <v>55</v>
      </c>
      <c r="W33" t="s">
        <v>106</v>
      </c>
      <c r="X33" t="s">
        <v>314</v>
      </c>
      <c r="Y33">
        <v>1.35</v>
      </c>
      <c r="Z33" t="s">
        <v>46</v>
      </c>
      <c r="AA33" t="s">
        <v>58</v>
      </c>
      <c r="AB33" t="s">
        <v>59</v>
      </c>
      <c r="AC33">
        <v>283</v>
      </c>
      <c r="AD33" t="s">
        <v>46</v>
      </c>
      <c r="AE33" t="s">
        <v>60</v>
      </c>
      <c r="AF33" t="s">
        <v>45</v>
      </c>
      <c r="AG33" t="s">
        <v>46</v>
      </c>
      <c r="AH33" t="s">
        <v>61</v>
      </c>
      <c r="AI33" t="s">
        <v>48</v>
      </c>
      <c r="AJ33" t="s">
        <v>62</v>
      </c>
      <c r="AK33" t="s">
        <v>63</v>
      </c>
      <c r="AL33" t="s">
        <v>64</v>
      </c>
      <c r="AM33" t="s">
        <v>46</v>
      </c>
      <c r="AN33" t="s">
        <v>60</v>
      </c>
      <c r="AO33" t="s">
        <v>62</v>
      </c>
      <c r="AP33" t="s">
        <v>315</v>
      </c>
      <c r="AQ33" t="s">
        <v>66</v>
      </c>
      <c r="AR33" t="s">
        <v>67</v>
      </c>
    </row>
    <row r="34" spans="1:44">
      <c r="A34" s="1">
        <v>45427</v>
      </c>
      <c r="B34" s="2">
        <v>0.23409722222222223</v>
      </c>
      <c r="C34" t="s">
        <v>44</v>
      </c>
      <c r="D34" t="s">
        <v>45</v>
      </c>
      <c r="E34">
        <v>0.67600000000000005</v>
      </c>
      <c r="F34" t="s">
        <v>46</v>
      </c>
      <c r="G34" t="s">
        <v>47</v>
      </c>
      <c r="H34" t="s">
        <v>45</v>
      </c>
      <c r="I34">
        <v>0.30819999999999997</v>
      </c>
      <c r="J34" t="s">
        <v>46</v>
      </c>
      <c r="K34" t="s">
        <v>48</v>
      </c>
      <c r="L34" t="s">
        <v>49</v>
      </c>
      <c r="M34" t="s">
        <v>50</v>
      </c>
      <c r="N34" t="s">
        <v>51</v>
      </c>
      <c r="O34">
        <v>3.45</v>
      </c>
      <c r="P34">
        <v>8.27</v>
      </c>
      <c r="Q34" t="s">
        <v>46</v>
      </c>
      <c r="R34" t="s">
        <v>52</v>
      </c>
      <c r="S34" t="s">
        <v>53</v>
      </c>
      <c r="T34" t="s">
        <v>46</v>
      </c>
      <c r="U34" t="s">
        <v>54</v>
      </c>
      <c r="V34" t="s">
        <v>55</v>
      </c>
      <c r="W34" t="s">
        <v>106</v>
      </c>
      <c r="X34" t="s">
        <v>314</v>
      </c>
      <c r="Y34">
        <v>1.35</v>
      </c>
      <c r="Z34" t="s">
        <v>46</v>
      </c>
      <c r="AA34" t="s">
        <v>58</v>
      </c>
      <c r="AB34" t="s">
        <v>59</v>
      </c>
      <c r="AC34">
        <v>283</v>
      </c>
      <c r="AD34" t="s">
        <v>46</v>
      </c>
      <c r="AE34" t="s">
        <v>60</v>
      </c>
      <c r="AF34" t="s">
        <v>45</v>
      </c>
      <c r="AG34" t="s">
        <v>46</v>
      </c>
      <c r="AH34" t="s">
        <v>61</v>
      </c>
      <c r="AI34" t="s">
        <v>48</v>
      </c>
      <c r="AJ34" t="s">
        <v>62</v>
      </c>
      <c r="AK34" t="s">
        <v>63</v>
      </c>
      <c r="AL34" t="s">
        <v>64</v>
      </c>
      <c r="AM34" t="s">
        <v>46</v>
      </c>
      <c r="AN34" t="s">
        <v>60</v>
      </c>
      <c r="AO34" t="s">
        <v>62</v>
      </c>
      <c r="AP34" t="s">
        <v>316</v>
      </c>
      <c r="AQ34" t="s">
        <v>66</v>
      </c>
      <c r="AR34" t="s">
        <v>67</v>
      </c>
    </row>
    <row r="35" spans="1:44">
      <c r="A35" s="1">
        <v>45427</v>
      </c>
      <c r="B35" s="2">
        <v>0.2341550925925926</v>
      </c>
      <c r="C35" t="s">
        <v>44</v>
      </c>
      <c r="D35" t="s">
        <v>45</v>
      </c>
      <c r="E35">
        <v>0.48499999999999999</v>
      </c>
      <c r="F35" t="s">
        <v>46</v>
      </c>
      <c r="G35" t="s">
        <v>47</v>
      </c>
      <c r="H35" t="s">
        <v>45</v>
      </c>
      <c r="I35">
        <v>0.30830000000000002</v>
      </c>
      <c r="J35" t="s">
        <v>46</v>
      </c>
      <c r="K35" t="s">
        <v>48</v>
      </c>
      <c r="L35" t="s">
        <v>49</v>
      </c>
      <c r="M35" t="s">
        <v>50</v>
      </c>
      <c r="N35" t="s">
        <v>51</v>
      </c>
      <c r="O35">
        <v>3.45</v>
      </c>
      <c r="P35">
        <v>8.27</v>
      </c>
      <c r="Q35" t="s">
        <v>46</v>
      </c>
      <c r="R35" t="s">
        <v>52</v>
      </c>
      <c r="S35" t="s">
        <v>53</v>
      </c>
      <c r="T35" t="s">
        <v>46</v>
      </c>
      <c r="U35" t="s">
        <v>54</v>
      </c>
      <c r="V35" t="s">
        <v>55</v>
      </c>
      <c r="W35" t="s">
        <v>317</v>
      </c>
      <c r="X35" t="s">
        <v>314</v>
      </c>
      <c r="Y35">
        <v>1.35</v>
      </c>
      <c r="Z35" t="s">
        <v>46</v>
      </c>
      <c r="AA35" t="s">
        <v>58</v>
      </c>
      <c r="AB35" t="s">
        <v>59</v>
      </c>
      <c r="AC35">
        <v>283</v>
      </c>
      <c r="AD35" t="s">
        <v>46</v>
      </c>
      <c r="AE35" t="s">
        <v>60</v>
      </c>
      <c r="AF35" t="s">
        <v>45</v>
      </c>
      <c r="AG35" t="s">
        <v>46</v>
      </c>
      <c r="AH35" t="s">
        <v>61</v>
      </c>
      <c r="AI35" t="s">
        <v>48</v>
      </c>
      <c r="AJ35" t="s">
        <v>62</v>
      </c>
      <c r="AK35" t="s">
        <v>63</v>
      </c>
      <c r="AL35" t="s">
        <v>64</v>
      </c>
      <c r="AM35" t="s">
        <v>46</v>
      </c>
      <c r="AN35" t="s">
        <v>60</v>
      </c>
      <c r="AO35" t="s">
        <v>62</v>
      </c>
      <c r="AP35" t="s">
        <v>318</v>
      </c>
      <c r="AQ35" t="s">
        <v>66</v>
      </c>
      <c r="AR35" t="s">
        <v>67</v>
      </c>
    </row>
    <row r="36" spans="1:44">
      <c r="A36" s="1">
        <v>45427</v>
      </c>
      <c r="B36" s="2">
        <v>0.23420138888888889</v>
      </c>
      <c r="C36" t="s">
        <v>44</v>
      </c>
      <c r="D36" t="s">
        <v>45</v>
      </c>
      <c r="E36">
        <v>0.65600000000000003</v>
      </c>
      <c r="F36" t="s">
        <v>46</v>
      </c>
      <c r="G36" t="s">
        <v>47</v>
      </c>
      <c r="H36" t="s">
        <v>45</v>
      </c>
      <c r="I36">
        <v>0.30809999999999998</v>
      </c>
      <c r="J36" t="s">
        <v>46</v>
      </c>
      <c r="K36" t="s">
        <v>48</v>
      </c>
      <c r="L36" t="s">
        <v>49</v>
      </c>
      <c r="M36" t="s">
        <v>50</v>
      </c>
      <c r="N36" t="s">
        <v>51</v>
      </c>
      <c r="O36">
        <v>3.45</v>
      </c>
      <c r="P36">
        <v>8.27</v>
      </c>
      <c r="Q36" t="s">
        <v>46</v>
      </c>
      <c r="R36" t="s">
        <v>52</v>
      </c>
      <c r="S36" t="s">
        <v>53</v>
      </c>
      <c r="T36" t="s">
        <v>46</v>
      </c>
      <c r="U36" t="s">
        <v>54</v>
      </c>
      <c r="V36" t="s">
        <v>55</v>
      </c>
      <c r="W36" t="s">
        <v>224</v>
      </c>
      <c r="X36" t="s">
        <v>247</v>
      </c>
      <c r="Y36">
        <v>1.34</v>
      </c>
      <c r="Z36" t="s">
        <v>46</v>
      </c>
      <c r="AA36" t="s">
        <v>58</v>
      </c>
      <c r="AB36" t="s">
        <v>59</v>
      </c>
      <c r="AC36">
        <v>283</v>
      </c>
      <c r="AD36" t="s">
        <v>46</v>
      </c>
      <c r="AE36" t="s">
        <v>60</v>
      </c>
      <c r="AF36" t="s">
        <v>45</v>
      </c>
      <c r="AG36" t="s">
        <v>46</v>
      </c>
      <c r="AH36" t="s">
        <v>61</v>
      </c>
      <c r="AI36" t="s">
        <v>48</v>
      </c>
      <c r="AJ36" t="s">
        <v>62</v>
      </c>
      <c r="AK36" t="s">
        <v>63</v>
      </c>
      <c r="AL36" t="s">
        <v>64</v>
      </c>
      <c r="AM36" t="s">
        <v>46</v>
      </c>
      <c r="AN36" t="s">
        <v>60</v>
      </c>
      <c r="AO36" t="s">
        <v>62</v>
      </c>
      <c r="AP36" t="s">
        <v>319</v>
      </c>
      <c r="AQ36" t="s">
        <v>66</v>
      </c>
      <c r="AR36" t="s">
        <v>67</v>
      </c>
    </row>
    <row r="37" spans="1:44">
      <c r="A37" s="1">
        <v>45427</v>
      </c>
      <c r="B37" s="2">
        <v>0.23424768518518518</v>
      </c>
      <c r="C37" t="s">
        <v>44</v>
      </c>
      <c r="D37" t="s">
        <v>45</v>
      </c>
      <c r="E37">
        <v>0.45700000000000002</v>
      </c>
      <c r="F37" t="s">
        <v>46</v>
      </c>
      <c r="G37" t="s">
        <v>47</v>
      </c>
      <c r="H37" t="s">
        <v>45</v>
      </c>
      <c r="I37">
        <v>0.30809999999999998</v>
      </c>
      <c r="J37" t="s">
        <v>46</v>
      </c>
      <c r="K37" t="s">
        <v>48</v>
      </c>
      <c r="L37" t="s">
        <v>49</v>
      </c>
      <c r="M37" t="s">
        <v>50</v>
      </c>
      <c r="N37" t="s">
        <v>51</v>
      </c>
      <c r="O37">
        <v>3.45</v>
      </c>
      <c r="P37">
        <v>8.27</v>
      </c>
      <c r="Q37" t="s">
        <v>46</v>
      </c>
      <c r="R37" t="s">
        <v>52</v>
      </c>
      <c r="S37" t="s">
        <v>53</v>
      </c>
      <c r="T37" t="s">
        <v>46</v>
      </c>
      <c r="U37" t="s">
        <v>54</v>
      </c>
      <c r="V37" t="s">
        <v>55</v>
      </c>
      <c r="W37" t="s">
        <v>224</v>
      </c>
      <c r="X37" t="s">
        <v>244</v>
      </c>
      <c r="Y37">
        <v>1.34</v>
      </c>
      <c r="Z37" t="s">
        <v>46</v>
      </c>
      <c r="AA37" t="s">
        <v>58</v>
      </c>
      <c r="AB37" t="s">
        <v>59</v>
      </c>
      <c r="AC37">
        <v>283</v>
      </c>
      <c r="AD37" t="s">
        <v>46</v>
      </c>
      <c r="AE37" t="s">
        <v>60</v>
      </c>
      <c r="AF37" t="s">
        <v>45</v>
      </c>
      <c r="AG37" t="s">
        <v>46</v>
      </c>
      <c r="AH37" t="s">
        <v>61</v>
      </c>
      <c r="AI37" t="s">
        <v>48</v>
      </c>
      <c r="AJ37" t="s">
        <v>62</v>
      </c>
      <c r="AK37" t="s">
        <v>63</v>
      </c>
      <c r="AL37" t="s">
        <v>64</v>
      </c>
      <c r="AM37" t="s">
        <v>46</v>
      </c>
      <c r="AN37" t="s">
        <v>60</v>
      </c>
      <c r="AO37" t="s">
        <v>62</v>
      </c>
      <c r="AP37" t="s">
        <v>320</v>
      </c>
      <c r="AQ37" t="s">
        <v>66</v>
      </c>
      <c r="AR37" t="s">
        <v>67</v>
      </c>
    </row>
    <row r="38" spans="1:44">
      <c r="A38" s="1">
        <v>45427</v>
      </c>
      <c r="B38" s="2">
        <v>0.23429398148148148</v>
      </c>
      <c r="C38" t="s">
        <v>44</v>
      </c>
      <c r="D38" t="s">
        <v>45</v>
      </c>
      <c r="E38">
        <v>0.77100000000000002</v>
      </c>
      <c r="F38" t="s">
        <v>46</v>
      </c>
      <c r="G38" t="s">
        <v>47</v>
      </c>
      <c r="H38" t="s">
        <v>45</v>
      </c>
      <c r="I38">
        <v>0.30809999999999998</v>
      </c>
      <c r="J38" t="s">
        <v>46</v>
      </c>
      <c r="K38" t="s">
        <v>48</v>
      </c>
      <c r="L38" t="s">
        <v>49</v>
      </c>
      <c r="M38" t="s">
        <v>50</v>
      </c>
      <c r="N38" t="s">
        <v>51</v>
      </c>
      <c r="O38">
        <v>3.45</v>
      </c>
      <c r="P38">
        <v>8.27</v>
      </c>
      <c r="Q38" t="s">
        <v>46</v>
      </c>
      <c r="R38" t="s">
        <v>52</v>
      </c>
      <c r="S38" t="s">
        <v>53</v>
      </c>
      <c r="T38" t="s">
        <v>46</v>
      </c>
      <c r="U38" t="s">
        <v>54</v>
      </c>
      <c r="V38" t="s">
        <v>55</v>
      </c>
      <c r="W38" t="s">
        <v>92</v>
      </c>
      <c r="X38" t="s">
        <v>314</v>
      </c>
      <c r="Y38">
        <v>1.34</v>
      </c>
      <c r="Z38" t="s">
        <v>46</v>
      </c>
      <c r="AA38" t="s">
        <v>58</v>
      </c>
      <c r="AB38" t="s">
        <v>59</v>
      </c>
      <c r="AC38">
        <v>284</v>
      </c>
      <c r="AD38" t="s">
        <v>46</v>
      </c>
      <c r="AE38" t="s">
        <v>60</v>
      </c>
      <c r="AF38" t="s">
        <v>45</v>
      </c>
      <c r="AG38" t="s">
        <v>46</v>
      </c>
      <c r="AH38" t="s">
        <v>61</v>
      </c>
      <c r="AI38" t="s">
        <v>48</v>
      </c>
      <c r="AJ38" t="s">
        <v>62</v>
      </c>
      <c r="AK38" t="s">
        <v>63</v>
      </c>
      <c r="AL38" t="s">
        <v>64</v>
      </c>
      <c r="AM38" t="s">
        <v>46</v>
      </c>
      <c r="AN38" t="s">
        <v>60</v>
      </c>
      <c r="AO38" t="s">
        <v>62</v>
      </c>
      <c r="AP38" t="s">
        <v>321</v>
      </c>
      <c r="AQ38" t="s">
        <v>66</v>
      </c>
      <c r="AR38" t="s">
        <v>67</v>
      </c>
    </row>
    <row r="39" spans="1:44">
      <c r="A39" s="1">
        <v>45427</v>
      </c>
      <c r="B39" s="2">
        <v>0.23435185185185184</v>
      </c>
      <c r="C39" t="s">
        <v>44</v>
      </c>
      <c r="D39" t="s">
        <v>45</v>
      </c>
      <c r="E39">
        <v>0.69699999999999995</v>
      </c>
      <c r="F39" t="s">
        <v>46</v>
      </c>
      <c r="G39" t="s">
        <v>47</v>
      </c>
      <c r="H39" t="s">
        <v>45</v>
      </c>
      <c r="I39">
        <v>0.30809999999999998</v>
      </c>
      <c r="J39" t="s">
        <v>46</v>
      </c>
      <c r="K39" t="s">
        <v>48</v>
      </c>
      <c r="L39" t="s">
        <v>49</v>
      </c>
      <c r="M39" t="s">
        <v>50</v>
      </c>
      <c r="N39" t="s">
        <v>51</v>
      </c>
      <c r="O39">
        <v>3.45</v>
      </c>
      <c r="P39">
        <v>8.27</v>
      </c>
      <c r="Q39" t="s">
        <v>46</v>
      </c>
      <c r="R39" t="s">
        <v>52</v>
      </c>
      <c r="S39" t="s">
        <v>53</v>
      </c>
      <c r="T39" t="s">
        <v>46</v>
      </c>
      <c r="U39" t="s">
        <v>54</v>
      </c>
      <c r="V39" t="s">
        <v>55</v>
      </c>
      <c r="W39" t="s">
        <v>98</v>
      </c>
      <c r="X39" t="s">
        <v>244</v>
      </c>
      <c r="Y39">
        <v>1.34</v>
      </c>
      <c r="Z39" t="s">
        <v>46</v>
      </c>
      <c r="AA39" t="s">
        <v>58</v>
      </c>
      <c r="AB39" t="s">
        <v>59</v>
      </c>
      <c r="AC39">
        <v>283</v>
      </c>
      <c r="AD39" t="s">
        <v>46</v>
      </c>
      <c r="AE39" t="s">
        <v>60</v>
      </c>
      <c r="AF39" t="s">
        <v>45</v>
      </c>
      <c r="AG39" t="s">
        <v>46</v>
      </c>
      <c r="AH39" t="s">
        <v>61</v>
      </c>
      <c r="AI39" t="s">
        <v>48</v>
      </c>
      <c r="AJ39" t="s">
        <v>62</v>
      </c>
      <c r="AK39" t="s">
        <v>63</v>
      </c>
      <c r="AL39" t="s">
        <v>64</v>
      </c>
      <c r="AM39" t="s">
        <v>46</v>
      </c>
      <c r="AN39" t="s">
        <v>60</v>
      </c>
      <c r="AO39" t="s">
        <v>62</v>
      </c>
      <c r="AP39" t="s">
        <v>322</v>
      </c>
      <c r="AQ39" t="s">
        <v>66</v>
      </c>
      <c r="AR39" t="s">
        <v>67</v>
      </c>
    </row>
    <row r="40" spans="1:44">
      <c r="A40" s="1">
        <v>45427</v>
      </c>
      <c r="B40" s="2">
        <v>0.23439814814814816</v>
      </c>
      <c r="C40" t="s">
        <v>44</v>
      </c>
      <c r="D40" t="s">
        <v>45</v>
      </c>
      <c r="E40">
        <v>0.40600000000000003</v>
      </c>
      <c r="F40" t="s">
        <v>46</v>
      </c>
      <c r="G40" t="s">
        <v>47</v>
      </c>
      <c r="H40" t="s">
        <v>45</v>
      </c>
      <c r="I40">
        <v>0.30819999999999997</v>
      </c>
      <c r="J40" t="s">
        <v>46</v>
      </c>
      <c r="K40" t="s">
        <v>48</v>
      </c>
      <c r="L40" t="s">
        <v>49</v>
      </c>
      <c r="M40" t="s">
        <v>50</v>
      </c>
      <c r="N40" t="s">
        <v>51</v>
      </c>
      <c r="O40">
        <v>3.45</v>
      </c>
      <c r="P40">
        <v>8.27</v>
      </c>
      <c r="Q40" t="s">
        <v>46</v>
      </c>
      <c r="R40" t="s">
        <v>52</v>
      </c>
      <c r="S40" t="s">
        <v>53</v>
      </c>
      <c r="T40" t="s">
        <v>46</v>
      </c>
      <c r="U40" t="s">
        <v>54</v>
      </c>
      <c r="V40" t="s">
        <v>55</v>
      </c>
      <c r="W40" t="s">
        <v>98</v>
      </c>
      <c r="X40" t="s">
        <v>244</v>
      </c>
      <c r="Y40">
        <v>1.33</v>
      </c>
      <c r="Z40" t="s">
        <v>46</v>
      </c>
      <c r="AA40" t="s">
        <v>58</v>
      </c>
      <c r="AB40" t="s">
        <v>59</v>
      </c>
      <c r="AC40">
        <v>283</v>
      </c>
      <c r="AD40" t="s">
        <v>46</v>
      </c>
      <c r="AE40" t="s">
        <v>60</v>
      </c>
      <c r="AF40" t="s">
        <v>45</v>
      </c>
      <c r="AG40" t="s">
        <v>46</v>
      </c>
      <c r="AH40" t="s">
        <v>61</v>
      </c>
      <c r="AI40" t="s">
        <v>48</v>
      </c>
      <c r="AJ40" t="s">
        <v>62</v>
      </c>
      <c r="AK40" t="s">
        <v>63</v>
      </c>
      <c r="AL40" t="s">
        <v>64</v>
      </c>
      <c r="AM40" t="s">
        <v>46</v>
      </c>
      <c r="AN40" t="s">
        <v>60</v>
      </c>
      <c r="AO40" t="s">
        <v>62</v>
      </c>
      <c r="AP40" t="s">
        <v>323</v>
      </c>
      <c r="AQ40" t="s">
        <v>66</v>
      </c>
      <c r="AR40" t="s">
        <v>67</v>
      </c>
    </row>
    <row r="41" spans="1:44">
      <c r="A41" s="1">
        <v>45427</v>
      </c>
      <c r="B41" s="2">
        <v>0.23444444444444446</v>
      </c>
      <c r="C41" t="s">
        <v>44</v>
      </c>
      <c r="D41" t="s">
        <v>45</v>
      </c>
      <c r="E41">
        <v>0.84799999999999998</v>
      </c>
      <c r="F41" t="s">
        <v>46</v>
      </c>
      <c r="G41" t="s">
        <v>47</v>
      </c>
      <c r="H41" t="s">
        <v>45</v>
      </c>
      <c r="I41">
        <v>0.30840000000000001</v>
      </c>
      <c r="J41" t="s">
        <v>46</v>
      </c>
      <c r="K41" t="s">
        <v>48</v>
      </c>
      <c r="L41" t="s">
        <v>49</v>
      </c>
      <c r="M41" t="s">
        <v>50</v>
      </c>
      <c r="N41" t="s">
        <v>51</v>
      </c>
      <c r="O41">
        <v>3.45</v>
      </c>
      <c r="P41">
        <v>8.27</v>
      </c>
      <c r="Q41" t="s">
        <v>46</v>
      </c>
      <c r="R41" t="s">
        <v>52</v>
      </c>
      <c r="S41" t="s">
        <v>53</v>
      </c>
      <c r="T41" t="s">
        <v>46</v>
      </c>
      <c r="U41" t="s">
        <v>54</v>
      </c>
      <c r="V41" t="s">
        <v>55</v>
      </c>
      <c r="W41" t="s">
        <v>98</v>
      </c>
      <c r="X41" t="s">
        <v>244</v>
      </c>
      <c r="Y41">
        <v>1.33</v>
      </c>
      <c r="Z41" t="s">
        <v>46</v>
      </c>
      <c r="AA41" t="s">
        <v>58</v>
      </c>
      <c r="AB41" t="s">
        <v>59</v>
      </c>
      <c r="AC41">
        <v>284</v>
      </c>
      <c r="AD41" t="s">
        <v>46</v>
      </c>
      <c r="AE41" t="s">
        <v>60</v>
      </c>
      <c r="AF41" t="s">
        <v>45</v>
      </c>
      <c r="AG41" t="s">
        <v>46</v>
      </c>
      <c r="AH41" t="s">
        <v>61</v>
      </c>
      <c r="AI41" t="s">
        <v>48</v>
      </c>
      <c r="AJ41" t="s">
        <v>62</v>
      </c>
      <c r="AK41" t="s">
        <v>63</v>
      </c>
      <c r="AL41" t="s">
        <v>64</v>
      </c>
      <c r="AM41" t="s">
        <v>46</v>
      </c>
      <c r="AN41" t="s">
        <v>60</v>
      </c>
      <c r="AO41" t="s">
        <v>62</v>
      </c>
      <c r="AP41" t="s">
        <v>324</v>
      </c>
      <c r="AQ41" t="s">
        <v>66</v>
      </c>
      <c r="AR41" t="s">
        <v>67</v>
      </c>
    </row>
    <row r="42" spans="1:44">
      <c r="A42" s="1">
        <v>45427</v>
      </c>
      <c r="B42" s="2">
        <v>0.23449074074074075</v>
      </c>
      <c r="C42" t="s">
        <v>44</v>
      </c>
      <c r="D42" t="s">
        <v>45</v>
      </c>
      <c r="E42">
        <v>0.66700000000000004</v>
      </c>
      <c r="F42" t="s">
        <v>46</v>
      </c>
      <c r="G42" t="s">
        <v>47</v>
      </c>
      <c r="H42" t="s">
        <v>45</v>
      </c>
      <c r="I42">
        <v>0.30819999999999997</v>
      </c>
      <c r="J42" t="s">
        <v>46</v>
      </c>
      <c r="K42" t="s">
        <v>48</v>
      </c>
      <c r="L42" t="s">
        <v>49</v>
      </c>
      <c r="M42" t="s">
        <v>50</v>
      </c>
      <c r="N42" t="s">
        <v>51</v>
      </c>
      <c r="O42">
        <v>3.45</v>
      </c>
      <c r="P42">
        <v>8.27</v>
      </c>
      <c r="Q42" t="s">
        <v>46</v>
      </c>
      <c r="R42" t="s">
        <v>52</v>
      </c>
      <c r="S42" t="s">
        <v>53</v>
      </c>
      <c r="T42" t="s">
        <v>46</v>
      </c>
      <c r="U42" t="s">
        <v>54</v>
      </c>
      <c r="V42" t="s">
        <v>55</v>
      </c>
      <c r="W42" t="s">
        <v>210</v>
      </c>
      <c r="X42" t="s">
        <v>210</v>
      </c>
      <c r="Y42">
        <v>1.33</v>
      </c>
      <c r="Z42" t="s">
        <v>46</v>
      </c>
      <c r="AA42" t="s">
        <v>58</v>
      </c>
      <c r="AB42" t="s">
        <v>59</v>
      </c>
      <c r="AC42">
        <v>283</v>
      </c>
      <c r="AD42" t="s">
        <v>46</v>
      </c>
      <c r="AE42" t="s">
        <v>60</v>
      </c>
      <c r="AF42" t="s">
        <v>45</v>
      </c>
      <c r="AG42" t="s">
        <v>46</v>
      </c>
      <c r="AH42" t="s">
        <v>61</v>
      </c>
      <c r="AI42" t="s">
        <v>48</v>
      </c>
      <c r="AJ42" t="s">
        <v>62</v>
      </c>
      <c r="AK42" t="s">
        <v>63</v>
      </c>
      <c r="AL42" t="s">
        <v>64</v>
      </c>
      <c r="AM42" t="s">
        <v>46</v>
      </c>
      <c r="AN42" t="s">
        <v>60</v>
      </c>
      <c r="AO42" t="s">
        <v>62</v>
      </c>
      <c r="AP42" t="s">
        <v>325</v>
      </c>
      <c r="AQ42" t="s">
        <v>66</v>
      </c>
      <c r="AR42" t="s">
        <v>67</v>
      </c>
    </row>
    <row r="43" spans="1:44">
      <c r="A43" s="1">
        <v>45427</v>
      </c>
      <c r="B43" s="2">
        <v>0.23454861111111111</v>
      </c>
      <c r="C43" t="s">
        <v>44</v>
      </c>
      <c r="D43" t="s">
        <v>45</v>
      </c>
      <c r="E43">
        <v>0.57599999999999996</v>
      </c>
      <c r="F43" t="s">
        <v>46</v>
      </c>
      <c r="G43" t="s">
        <v>47</v>
      </c>
      <c r="H43" t="s">
        <v>45</v>
      </c>
      <c r="I43">
        <v>0.30809999999999998</v>
      </c>
      <c r="J43" t="s">
        <v>46</v>
      </c>
      <c r="K43" t="s">
        <v>48</v>
      </c>
      <c r="L43" t="s">
        <v>49</v>
      </c>
      <c r="M43" t="s">
        <v>50</v>
      </c>
      <c r="N43" t="s">
        <v>51</v>
      </c>
      <c r="O43">
        <v>3.45</v>
      </c>
      <c r="P43">
        <v>8.27</v>
      </c>
      <c r="Q43" t="s">
        <v>46</v>
      </c>
      <c r="R43" t="s">
        <v>52</v>
      </c>
      <c r="S43" t="s">
        <v>53</v>
      </c>
      <c r="T43" t="s">
        <v>46</v>
      </c>
      <c r="U43" t="s">
        <v>54</v>
      </c>
      <c r="V43" t="s">
        <v>55</v>
      </c>
      <c r="W43" t="s">
        <v>210</v>
      </c>
      <c r="X43" t="s">
        <v>210</v>
      </c>
      <c r="Y43">
        <v>1.32</v>
      </c>
      <c r="Z43" t="s">
        <v>46</v>
      </c>
      <c r="AA43" t="s">
        <v>58</v>
      </c>
      <c r="AB43" t="s">
        <v>59</v>
      </c>
      <c r="AC43">
        <v>283</v>
      </c>
      <c r="AD43" t="s">
        <v>46</v>
      </c>
      <c r="AE43" t="s">
        <v>60</v>
      </c>
      <c r="AF43" t="s">
        <v>45</v>
      </c>
      <c r="AG43" t="s">
        <v>46</v>
      </c>
      <c r="AH43" t="s">
        <v>61</v>
      </c>
      <c r="AI43" t="s">
        <v>48</v>
      </c>
      <c r="AJ43" t="s">
        <v>62</v>
      </c>
      <c r="AK43" t="s">
        <v>63</v>
      </c>
      <c r="AL43" t="s">
        <v>64</v>
      </c>
      <c r="AM43" t="s">
        <v>46</v>
      </c>
      <c r="AN43" t="s">
        <v>60</v>
      </c>
      <c r="AO43" t="s">
        <v>62</v>
      </c>
      <c r="AP43" t="s">
        <v>326</v>
      </c>
      <c r="AQ43" t="s">
        <v>66</v>
      </c>
      <c r="AR43" t="s">
        <v>67</v>
      </c>
    </row>
    <row r="44" spans="1:44">
      <c r="A44" s="1">
        <v>45427</v>
      </c>
      <c r="B44" s="2">
        <v>0.2345949074074074</v>
      </c>
      <c r="C44" t="s">
        <v>44</v>
      </c>
      <c r="D44" t="s">
        <v>45</v>
      </c>
      <c r="E44">
        <v>0.375</v>
      </c>
      <c r="F44" t="s">
        <v>46</v>
      </c>
      <c r="G44" t="s">
        <v>47</v>
      </c>
      <c r="H44" t="s">
        <v>45</v>
      </c>
      <c r="I44">
        <v>0.30830000000000002</v>
      </c>
      <c r="J44" t="s">
        <v>46</v>
      </c>
      <c r="K44" t="s">
        <v>48</v>
      </c>
      <c r="L44" t="s">
        <v>49</v>
      </c>
      <c r="M44" t="s">
        <v>50</v>
      </c>
      <c r="N44" t="s">
        <v>51</v>
      </c>
      <c r="O44">
        <v>3.45</v>
      </c>
      <c r="P44">
        <v>8.27</v>
      </c>
      <c r="Q44" t="s">
        <v>46</v>
      </c>
      <c r="R44" t="s">
        <v>52</v>
      </c>
      <c r="S44" t="s">
        <v>53</v>
      </c>
      <c r="T44" t="s">
        <v>46</v>
      </c>
      <c r="U44" t="s">
        <v>54</v>
      </c>
      <c r="V44" t="s">
        <v>55</v>
      </c>
      <c r="W44" t="s">
        <v>224</v>
      </c>
      <c r="X44" t="s">
        <v>244</v>
      </c>
      <c r="Y44">
        <v>1.33</v>
      </c>
      <c r="Z44" t="s">
        <v>46</v>
      </c>
      <c r="AA44" t="s">
        <v>58</v>
      </c>
      <c r="AB44" t="s">
        <v>59</v>
      </c>
      <c r="AC44">
        <v>283</v>
      </c>
      <c r="AD44" t="s">
        <v>46</v>
      </c>
      <c r="AE44" t="s">
        <v>60</v>
      </c>
      <c r="AF44" t="s">
        <v>45</v>
      </c>
      <c r="AG44" t="s">
        <v>46</v>
      </c>
      <c r="AH44" t="s">
        <v>61</v>
      </c>
      <c r="AI44" t="s">
        <v>48</v>
      </c>
      <c r="AJ44" t="s">
        <v>62</v>
      </c>
      <c r="AK44" t="s">
        <v>63</v>
      </c>
      <c r="AL44" t="s">
        <v>64</v>
      </c>
      <c r="AM44" t="s">
        <v>46</v>
      </c>
      <c r="AN44" t="s">
        <v>60</v>
      </c>
      <c r="AO44" t="s">
        <v>62</v>
      </c>
      <c r="AP44" t="s">
        <v>327</v>
      </c>
      <c r="AQ44" t="s">
        <v>66</v>
      </c>
      <c r="AR44" t="s">
        <v>67</v>
      </c>
    </row>
    <row r="45" spans="1:44">
      <c r="A45" s="1">
        <v>45427</v>
      </c>
      <c r="B45" s="2">
        <v>0.2346412037037037</v>
      </c>
      <c r="C45" t="s">
        <v>44</v>
      </c>
      <c r="D45" t="s">
        <v>45</v>
      </c>
      <c r="E45">
        <v>0.73499999999999999</v>
      </c>
      <c r="F45" t="s">
        <v>46</v>
      </c>
      <c r="G45" t="s">
        <v>47</v>
      </c>
      <c r="H45" t="s">
        <v>45</v>
      </c>
      <c r="I45">
        <v>0.30830000000000002</v>
      </c>
      <c r="J45" t="s">
        <v>46</v>
      </c>
      <c r="K45" t="s">
        <v>48</v>
      </c>
      <c r="L45" t="s">
        <v>49</v>
      </c>
      <c r="M45" t="s">
        <v>50</v>
      </c>
      <c r="N45" t="s">
        <v>51</v>
      </c>
      <c r="O45">
        <v>3.45</v>
      </c>
      <c r="P45">
        <v>8.27</v>
      </c>
      <c r="Q45" t="s">
        <v>46</v>
      </c>
      <c r="R45" t="s">
        <v>52</v>
      </c>
      <c r="S45" t="s">
        <v>53</v>
      </c>
      <c r="T45" t="s">
        <v>46</v>
      </c>
      <c r="U45" t="s">
        <v>54</v>
      </c>
      <c r="V45" t="s">
        <v>55</v>
      </c>
      <c r="W45" t="s">
        <v>328</v>
      </c>
      <c r="X45" t="s">
        <v>224</v>
      </c>
      <c r="Y45">
        <v>1.35</v>
      </c>
      <c r="Z45" t="s">
        <v>46</v>
      </c>
      <c r="AA45" t="s">
        <v>58</v>
      </c>
      <c r="AB45" t="s">
        <v>59</v>
      </c>
      <c r="AC45">
        <v>283</v>
      </c>
      <c r="AD45" t="s">
        <v>46</v>
      </c>
      <c r="AE45" t="s">
        <v>60</v>
      </c>
      <c r="AF45" t="s">
        <v>45</v>
      </c>
      <c r="AG45" t="s">
        <v>46</v>
      </c>
      <c r="AH45" t="s">
        <v>61</v>
      </c>
      <c r="AI45" t="s">
        <v>48</v>
      </c>
      <c r="AJ45" t="s">
        <v>62</v>
      </c>
      <c r="AK45" t="s">
        <v>63</v>
      </c>
      <c r="AL45" t="s">
        <v>64</v>
      </c>
      <c r="AM45" t="s">
        <v>46</v>
      </c>
      <c r="AN45" t="s">
        <v>60</v>
      </c>
      <c r="AO45" t="s">
        <v>62</v>
      </c>
      <c r="AP45" t="s">
        <v>329</v>
      </c>
      <c r="AQ45" t="s">
        <v>66</v>
      </c>
      <c r="AR45" t="s">
        <v>67</v>
      </c>
    </row>
    <row r="46" spans="1:44">
      <c r="A46" s="1">
        <v>45427</v>
      </c>
      <c r="B46" s="2">
        <v>0.23468749999999999</v>
      </c>
      <c r="C46" t="s">
        <v>44</v>
      </c>
      <c r="D46" t="s">
        <v>45</v>
      </c>
      <c r="E46">
        <v>0.441</v>
      </c>
      <c r="F46" t="s">
        <v>46</v>
      </c>
      <c r="G46" t="s">
        <v>47</v>
      </c>
      <c r="H46" t="s">
        <v>45</v>
      </c>
      <c r="I46">
        <v>0.30819999999999997</v>
      </c>
      <c r="J46" t="s">
        <v>46</v>
      </c>
      <c r="K46" t="s">
        <v>48</v>
      </c>
      <c r="L46" t="s">
        <v>49</v>
      </c>
      <c r="M46" t="s">
        <v>50</v>
      </c>
      <c r="N46" t="s">
        <v>51</v>
      </c>
      <c r="O46">
        <v>3.45</v>
      </c>
      <c r="P46">
        <v>8.27</v>
      </c>
      <c r="Q46" t="s">
        <v>46</v>
      </c>
      <c r="R46" t="s">
        <v>52</v>
      </c>
      <c r="S46" t="s">
        <v>53</v>
      </c>
      <c r="T46" t="s">
        <v>46</v>
      </c>
      <c r="U46" t="s">
        <v>54</v>
      </c>
      <c r="V46" t="s">
        <v>55</v>
      </c>
      <c r="W46" t="s">
        <v>330</v>
      </c>
      <c r="X46" t="s">
        <v>224</v>
      </c>
      <c r="Y46">
        <v>1.35</v>
      </c>
      <c r="Z46" t="s">
        <v>46</v>
      </c>
      <c r="AA46" t="s">
        <v>58</v>
      </c>
      <c r="AB46" t="s">
        <v>59</v>
      </c>
      <c r="AC46">
        <v>283</v>
      </c>
      <c r="AD46" t="s">
        <v>46</v>
      </c>
      <c r="AE46" t="s">
        <v>60</v>
      </c>
      <c r="AF46" t="s">
        <v>45</v>
      </c>
      <c r="AG46" t="s">
        <v>46</v>
      </c>
      <c r="AH46" t="s">
        <v>61</v>
      </c>
      <c r="AI46" t="s">
        <v>48</v>
      </c>
      <c r="AJ46" t="s">
        <v>62</v>
      </c>
      <c r="AK46" t="s">
        <v>63</v>
      </c>
      <c r="AL46" t="s">
        <v>64</v>
      </c>
      <c r="AM46" t="s">
        <v>46</v>
      </c>
      <c r="AN46" t="s">
        <v>60</v>
      </c>
      <c r="AO46" t="s">
        <v>62</v>
      </c>
      <c r="AP46" t="s">
        <v>331</v>
      </c>
      <c r="AQ46" t="s">
        <v>66</v>
      </c>
      <c r="AR46" t="s">
        <v>67</v>
      </c>
    </row>
    <row r="47" spans="1:44">
      <c r="A47" s="1">
        <v>45427</v>
      </c>
      <c r="B47" s="2">
        <v>0.23474537037037038</v>
      </c>
      <c r="C47" t="s">
        <v>44</v>
      </c>
      <c r="D47" t="s">
        <v>45</v>
      </c>
      <c r="E47">
        <v>0.48499999999999999</v>
      </c>
      <c r="F47" t="s">
        <v>46</v>
      </c>
      <c r="G47" t="s">
        <v>47</v>
      </c>
      <c r="H47" t="s">
        <v>45</v>
      </c>
      <c r="I47">
        <v>0.30819999999999997</v>
      </c>
      <c r="J47" t="s">
        <v>46</v>
      </c>
      <c r="K47" t="s">
        <v>48</v>
      </c>
      <c r="L47" t="s">
        <v>49</v>
      </c>
      <c r="M47" t="s">
        <v>50</v>
      </c>
      <c r="N47" t="s">
        <v>51</v>
      </c>
      <c r="O47">
        <v>3.45</v>
      </c>
      <c r="P47">
        <v>8.27</v>
      </c>
      <c r="Q47" t="s">
        <v>46</v>
      </c>
      <c r="R47" t="s">
        <v>52</v>
      </c>
      <c r="S47" t="s">
        <v>53</v>
      </c>
      <c r="T47" t="s">
        <v>46</v>
      </c>
      <c r="U47" t="s">
        <v>54</v>
      </c>
      <c r="V47" t="s">
        <v>55</v>
      </c>
      <c r="W47" t="s">
        <v>330</v>
      </c>
      <c r="X47" t="s">
        <v>224</v>
      </c>
      <c r="Y47">
        <v>1.35</v>
      </c>
      <c r="Z47" t="s">
        <v>46</v>
      </c>
      <c r="AA47" t="s">
        <v>58</v>
      </c>
      <c r="AB47" t="s">
        <v>59</v>
      </c>
      <c r="AC47">
        <v>283</v>
      </c>
      <c r="AD47" t="s">
        <v>46</v>
      </c>
      <c r="AE47" t="s">
        <v>60</v>
      </c>
      <c r="AF47" t="s">
        <v>45</v>
      </c>
      <c r="AG47" t="s">
        <v>46</v>
      </c>
      <c r="AH47" t="s">
        <v>61</v>
      </c>
      <c r="AI47" t="s">
        <v>48</v>
      </c>
      <c r="AJ47" t="s">
        <v>62</v>
      </c>
      <c r="AK47" t="s">
        <v>63</v>
      </c>
      <c r="AL47" t="s">
        <v>64</v>
      </c>
      <c r="AM47" t="s">
        <v>46</v>
      </c>
      <c r="AN47" t="s">
        <v>60</v>
      </c>
      <c r="AO47" t="s">
        <v>62</v>
      </c>
      <c r="AP47" t="s">
        <v>332</v>
      </c>
      <c r="AQ47" t="s">
        <v>66</v>
      </c>
      <c r="AR47" t="s">
        <v>67</v>
      </c>
    </row>
    <row r="48" spans="1:44">
      <c r="A48" s="1">
        <v>45427</v>
      </c>
      <c r="B48" s="2">
        <v>0.23479166666666668</v>
      </c>
      <c r="C48" t="s">
        <v>44</v>
      </c>
      <c r="D48" t="s">
        <v>45</v>
      </c>
      <c r="E48">
        <v>0.67700000000000005</v>
      </c>
      <c r="F48" t="s">
        <v>46</v>
      </c>
      <c r="G48" t="s">
        <v>47</v>
      </c>
      <c r="H48" t="s">
        <v>45</v>
      </c>
      <c r="I48">
        <v>0.30830000000000002</v>
      </c>
      <c r="J48" t="s">
        <v>46</v>
      </c>
      <c r="K48" t="s">
        <v>48</v>
      </c>
      <c r="L48" t="s">
        <v>49</v>
      </c>
      <c r="M48" t="s">
        <v>50</v>
      </c>
      <c r="N48" t="s">
        <v>51</v>
      </c>
      <c r="O48">
        <v>3.45</v>
      </c>
      <c r="P48">
        <v>8.27</v>
      </c>
      <c r="Q48" t="s">
        <v>46</v>
      </c>
      <c r="R48" t="s">
        <v>52</v>
      </c>
      <c r="S48" t="s">
        <v>53</v>
      </c>
      <c r="T48" t="s">
        <v>46</v>
      </c>
      <c r="U48" t="s">
        <v>54</v>
      </c>
      <c r="V48" t="s">
        <v>55</v>
      </c>
      <c r="W48" t="s">
        <v>333</v>
      </c>
      <c r="X48" t="s">
        <v>109</v>
      </c>
      <c r="Y48">
        <v>1.35</v>
      </c>
      <c r="Z48" t="s">
        <v>46</v>
      </c>
      <c r="AA48" t="s">
        <v>58</v>
      </c>
      <c r="AB48" t="s">
        <v>59</v>
      </c>
      <c r="AC48">
        <v>283</v>
      </c>
      <c r="AD48" t="s">
        <v>46</v>
      </c>
      <c r="AE48" t="s">
        <v>60</v>
      </c>
      <c r="AF48" t="s">
        <v>45</v>
      </c>
      <c r="AG48" t="s">
        <v>46</v>
      </c>
      <c r="AH48" t="s">
        <v>61</v>
      </c>
      <c r="AI48" t="s">
        <v>48</v>
      </c>
      <c r="AJ48" t="s">
        <v>62</v>
      </c>
      <c r="AK48" t="s">
        <v>63</v>
      </c>
      <c r="AL48" t="s">
        <v>64</v>
      </c>
      <c r="AM48" t="s">
        <v>46</v>
      </c>
      <c r="AN48" t="s">
        <v>60</v>
      </c>
      <c r="AO48" t="s">
        <v>62</v>
      </c>
      <c r="AP48" t="s">
        <v>334</v>
      </c>
      <c r="AQ48" t="s">
        <v>66</v>
      </c>
      <c r="AR48" t="s">
        <v>67</v>
      </c>
    </row>
    <row r="49" spans="1:44">
      <c r="A49" s="1">
        <v>45427</v>
      </c>
      <c r="B49" s="2">
        <v>0.23483796296296297</v>
      </c>
      <c r="C49" t="s">
        <v>44</v>
      </c>
      <c r="D49" t="s">
        <v>45</v>
      </c>
      <c r="E49">
        <v>0.40600000000000003</v>
      </c>
      <c r="F49" t="s">
        <v>46</v>
      </c>
      <c r="G49" t="s">
        <v>47</v>
      </c>
      <c r="H49" t="s">
        <v>45</v>
      </c>
      <c r="I49">
        <v>0.30819999999999997</v>
      </c>
      <c r="J49" t="s">
        <v>46</v>
      </c>
      <c r="K49" t="s">
        <v>48</v>
      </c>
      <c r="L49" t="s">
        <v>49</v>
      </c>
      <c r="M49" t="s">
        <v>50</v>
      </c>
      <c r="N49" t="s">
        <v>51</v>
      </c>
      <c r="O49">
        <v>3.45</v>
      </c>
      <c r="P49">
        <v>8.27</v>
      </c>
      <c r="Q49" t="s">
        <v>46</v>
      </c>
      <c r="R49" t="s">
        <v>52</v>
      </c>
      <c r="S49" t="s">
        <v>53</v>
      </c>
      <c r="T49" t="s">
        <v>46</v>
      </c>
      <c r="U49" t="s">
        <v>54</v>
      </c>
      <c r="V49" t="s">
        <v>55</v>
      </c>
      <c r="W49" t="s">
        <v>179</v>
      </c>
      <c r="X49" t="s">
        <v>335</v>
      </c>
      <c r="Y49">
        <v>1.36</v>
      </c>
      <c r="Z49" t="s">
        <v>46</v>
      </c>
      <c r="AA49" t="s">
        <v>58</v>
      </c>
      <c r="AB49" t="s">
        <v>59</v>
      </c>
      <c r="AC49">
        <v>283</v>
      </c>
      <c r="AD49" t="s">
        <v>46</v>
      </c>
      <c r="AE49" t="s">
        <v>60</v>
      </c>
      <c r="AF49" t="s">
        <v>45</v>
      </c>
      <c r="AG49" t="s">
        <v>46</v>
      </c>
      <c r="AH49" t="s">
        <v>61</v>
      </c>
      <c r="AI49" t="s">
        <v>48</v>
      </c>
      <c r="AJ49" t="s">
        <v>62</v>
      </c>
      <c r="AK49" t="s">
        <v>63</v>
      </c>
      <c r="AL49" t="s">
        <v>64</v>
      </c>
      <c r="AM49" t="s">
        <v>46</v>
      </c>
      <c r="AN49" t="s">
        <v>60</v>
      </c>
      <c r="AO49" t="s">
        <v>62</v>
      </c>
      <c r="AP49" t="s">
        <v>336</v>
      </c>
      <c r="AQ49" t="s">
        <v>66</v>
      </c>
      <c r="AR49" t="s">
        <v>67</v>
      </c>
    </row>
    <row r="50" spans="1:44">
      <c r="A50" s="1">
        <v>45427</v>
      </c>
      <c r="B50" s="2">
        <v>0.23488425925925926</v>
      </c>
      <c r="C50" t="s">
        <v>44</v>
      </c>
      <c r="D50" t="s">
        <v>45</v>
      </c>
      <c r="E50">
        <v>0.54500000000000004</v>
      </c>
      <c r="F50" t="s">
        <v>46</v>
      </c>
      <c r="G50" t="s">
        <v>47</v>
      </c>
      <c r="H50" t="s">
        <v>45</v>
      </c>
      <c r="I50">
        <v>0.30769999999999997</v>
      </c>
      <c r="J50" t="s">
        <v>46</v>
      </c>
      <c r="K50" t="s">
        <v>48</v>
      </c>
      <c r="L50" t="s">
        <v>49</v>
      </c>
      <c r="M50" t="s">
        <v>50</v>
      </c>
      <c r="N50" t="s">
        <v>51</v>
      </c>
      <c r="O50">
        <v>3.45</v>
      </c>
      <c r="P50">
        <v>8.27</v>
      </c>
      <c r="Q50" t="s">
        <v>46</v>
      </c>
      <c r="R50" t="s">
        <v>52</v>
      </c>
      <c r="S50" t="s">
        <v>53</v>
      </c>
      <c r="T50" t="s">
        <v>46</v>
      </c>
      <c r="U50" t="s">
        <v>54</v>
      </c>
      <c r="V50" t="s">
        <v>55</v>
      </c>
      <c r="W50" t="s">
        <v>206</v>
      </c>
      <c r="X50" t="s">
        <v>335</v>
      </c>
      <c r="Y50">
        <v>1.36</v>
      </c>
      <c r="Z50" t="s">
        <v>46</v>
      </c>
      <c r="AA50" t="s">
        <v>58</v>
      </c>
      <c r="AB50" t="s">
        <v>59</v>
      </c>
      <c r="AC50">
        <v>283</v>
      </c>
      <c r="AD50" t="s">
        <v>46</v>
      </c>
      <c r="AE50" t="s">
        <v>60</v>
      </c>
      <c r="AF50" t="s">
        <v>45</v>
      </c>
      <c r="AG50" t="s">
        <v>46</v>
      </c>
      <c r="AH50" t="s">
        <v>61</v>
      </c>
      <c r="AI50" t="s">
        <v>48</v>
      </c>
      <c r="AJ50" t="s">
        <v>62</v>
      </c>
      <c r="AK50" t="s">
        <v>63</v>
      </c>
      <c r="AL50" t="s">
        <v>64</v>
      </c>
      <c r="AM50" t="s">
        <v>46</v>
      </c>
      <c r="AN50" t="s">
        <v>60</v>
      </c>
      <c r="AO50" t="s">
        <v>62</v>
      </c>
      <c r="AP50" t="s">
        <v>337</v>
      </c>
      <c r="AQ50" t="s">
        <v>66</v>
      </c>
      <c r="AR50" t="s">
        <v>67</v>
      </c>
    </row>
    <row r="51" spans="1:44">
      <c r="A51" s="1">
        <v>45427</v>
      </c>
      <c r="B51" s="2">
        <v>0.23493055555555556</v>
      </c>
      <c r="C51" t="s">
        <v>44</v>
      </c>
      <c r="D51" t="s">
        <v>45</v>
      </c>
      <c r="E51">
        <v>0.66700000000000004</v>
      </c>
      <c r="F51" t="s">
        <v>46</v>
      </c>
      <c r="G51" t="s">
        <v>47</v>
      </c>
      <c r="H51" t="s">
        <v>45</v>
      </c>
      <c r="I51">
        <v>0.30759999999999998</v>
      </c>
      <c r="J51" t="s">
        <v>46</v>
      </c>
      <c r="K51" t="s">
        <v>48</v>
      </c>
      <c r="L51" t="s">
        <v>49</v>
      </c>
      <c r="M51" t="s">
        <v>50</v>
      </c>
      <c r="N51" t="s">
        <v>51</v>
      </c>
      <c r="O51">
        <v>3.45</v>
      </c>
      <c r="P51">
        <v>8.27</v>
      </c>
      <c r="Q51" t="s">
        <v>46</v>
      </c>
      <c r="R51" t="s">
        <v>52</v>
      </c>
      <c r="S51" t="s">
        <v>53</v>
      </c>
      <c r="T51" t="s">
        <v>46</v>
      </c>
      <c r="U51" t="s">
        <v>54</v>
      </c>
      <c r="V51" t="s">
        <v>55</v>
      </c>
      <c r="W51" t="s">
        <v>213</v>
      </c>
      <c r="X51" t="s">
        <v>119</v>
      </c>
      <c r="Y51">
        <v>1.36</v>
      </c>
      <c r="Z51" t="s">
        <v>46</v>
      </c>
      <c r="AA51" t="s">
        <v>58</v>
      </c>
      <c r="AB51" t="s">
        <v>59</v>
      </c>
      <c r="AC51">
        <v>283</v>
      </c>
      <c r="AD51" t="s">
        <v>46</v>
      </c>
      <c r="AE51" t="s">
        <v>60</v>
      </c>
      <c r="AF51" t="s">
        <v>45</v>
      </c>
      <c r="AG51" t="s">
        <v>46</v>
      </c>
      <c r="AH51" t="s">
        <v>61</v>
      </c>
      <c r="AI51" t="s">
        <v>48</v>
      </c>
      <c r="AJ51" t="s">
        <v>62</v>
      </c>
      <c r="AK51" t="s">
        <v>63</v>
      </c>
      <c r="AL51" t="s">
        <v>64</v>
      </c>
      <c r="AM51" t="s">
        <v>46</v>
      </c>
      <c r="AN51" t="s">
        <v>60</v>
      </c>
      <c r="AO51" t="s">
        <v>62</v>
      </c>
      <c r="AP51" t="s">
        <v>338</v>
      </c>
      <c r="AQ51" t="s">
        <v>66</v>
      </c>
      <c r="AR51" t="s">
        <v>67</v>
      </c>
    </row>
    <row r="52" spans="1:44">
      <c r="A52" s="1">
        <v>45427</v>
      </c>
      <c r="B52" s="2">
        <v>0.23498842592592592</v>
      </c>
      <c r="C52" t="s">
        <v>44</v>
      </c>
      <c r="D52" t="s">
        <v>45</v>
      </c>
      <c r="E52">
        <v>0.90600000000000003</v>
      </c>
      <c r="F52" t="s">
        <v>46</v>
      </c>
      <c r="G52" t="s">
        <v>47</v>
      </c>
      <c r="H52" t="s">
        <v>45</v>
      </c>
      <c r="I52">
        <v>0.30780000000000002</v>
      </c>
      <c r="J52" t="s">
        <v>46</v>
      </c>
      <c r="K52" t="s">
        <v>48</v>
      </c>
      <c r="L52" t="s">
        <v>49</v>
      </c>
      <c r="M52" t="s">
        <v>50</v>
      </c>
      <c r="N52" t="s">
        <v>51</v>
      </c>
      <c r="O52">
        <v>3.45</v>
      </c>
      <c r="P52">
        <v>8.27</v>
      </c>
      <c r="Q52" t="s">
        <v>46</v>
      </c>
      <c r="R52" t="s">
        <v>52</v>
      </c>
      <c r="S52" t="s">
        <v>53</v>
      </c>
      <c r="T52" t="s">
        <v>46</v>
      </c>
      <c r="U52" t="s">
        <v>54</v>
      </c>
      <c r="V52" t="s">
        <v>55</v>
      </c>
      <c r="W52" t="s">
        <v>71</v>
      </c>
      <c r="X52" t="s">
        <v>119</v>
      </c>
      <c r="Y52">
        <v>1.35</v>
      </c>
      <c r="Z52" t="s">
        <v>46</v>
      </c>
      <c r="AA52" t="s">
        <v>58</v>
      </c>
      <c r="AB52" t="s">
        <v>59</v>
      </c>
      <c r="AC52">
        <v>284</v>
      </c>
      <c r="AD52" t="s">
        <v>46</v>
      </c>
      <c r="AE52" t="s">
        <v>60</v>
      </c>
      <c r="AF52" t="s">
        <v>45</v>
      </c>
      <c r="AG52" t="s">
        <v>46</v>
      </c>
      <c r="AH52" t="s">
        <v>61</v>
      </c>
      <c r="AI52" t="s">
        <v>48</v>
      </c>
      <c r="AJ52" t="s">
        <v>62</v>
      </c>
      <c r="AK52" t="s">
        <v>63</v>
      </c>
      <c r="AL52" t="s">
        <v>64</v>
      </c>
      <c r="AM52" t="s">
        <v>46</v>
      </c>
      <c r="AN52" t="s">
        <v>60</v>
      </c>
      <c r="AO52" t="s">
        <v>62</v>
      </c>
      <c r="AP52" t="s">
        <v>339</v>
      </c>
      <c r="AQ52" t="s">
        <v>66</v>
      </c>
      <c r="AR52" t="s">
        <v>67</v>
      </c>
    </row>
    <row r="53" spans="1:44">
      <c r="A53" s="1">
        <v>45427</v>
      </c>
      <c r="B53" s="2">
        <v>0.23503472222222221</v>
      </c>
      <c r="C53" t="s">
        <v>44</v>
      </c>
      <c r="D53" t="s">
        <v>45</v>
      </c>
      <c r="E53">
        <v>0.51500000000000001</v>
      </c>
      <c r="F53" t="s">
        <v>46</v>
      </c>
      <c r="G53" t="s">
        <v>47</v>
      </c>
      <c r="H53" t="s">
        <v>45</v>
      </c>
      <c r="I53">
        <v>0.30809999999999998</v>
      </c>
      <c r="J53" t="s">
        <v>46</v>
      </c>
      <c r="K53" t="s">
        <v>48</v>
      </c>
      <c r="L53" t="s">
        <v>49</v>
      </c>
      <c r="M53" t="s">
        <v>50</v>
      </c>
      <c r="N53" t="s">
        <v>51</v>
      </c>
      <c r="O53">
        <v>3.45</v>
      </c>
      <c r="P53">
        <v>8.27</v>
      </c>
      <c r="Q53" t="s">
        <v>46</v>
      </c>
      <c r="R53" t="s">
        <v>52</v>
      </c>
      <c r="S53" t="s">
        <v>53</v>
      </c>
      <c r="T53" t="s">
        <v>46</v>
      </c>
      <c r="U53" t="s">
        <v>54</v>
      </c>
      <c r="V53" t="s">
        <v>55</v>
      </c>
      <c r="W53" t="s">
        <v>340</v>
      </c>
      <c r="X53" t="s">
        <v>119</v>
      </c>
      <c r="Y53">
        <v>1.35</v>
      </c>
      <c r="Z53" t="s">
        <v>46</v>
      </c>
      <c r="AA53" t="s">
        <v>58</v>
      </c>
      <c r="AB53" t="s">
        <v>59</v>
      </c>
      <c r="AC53">
        <v>283</v>
      </c>
      <c r="AD53" t="s">
        <v>46</v>
      </c>
      <c r="AE53" t="s">
        <v>60</v>
      </c>
      <c r="AF53" t="s">
        <v>45</v>
      </c>
      <c r="AG53" t="s">
        <v>46</v>
      </c>
      <c r="AH53" t="s">
        <v>61</v>
      </c>
      <c r="AI53" t="s">
        <v>48</v>
      </c>
      <c r="AJ53" t="s">
        <v>62</v>
      </c>
      <c r="AK53" t="s">
        <v>63</v>
      </c>
      <c r="AL53" t="s">
        <v>64</v>
      </c>
      <c r="AM53" t="s">
        <v>46</v>
      </c>
      <c r="AN53" t="s">
        <v>60</v>
      </c>
      <c r="AO53" t="s">
        <v>62</v>
      </c>
      <c r="AP53" t="s">
        <v>341</v>
      </c>
      <c r="AQ53" t="s">
        <v>66</v>
      </c>
      <c r="AR53" t="s">
        <v>67</v>
      </c>
    </row>
    <row r="54" spans="1:44">
      <c r="A54" s="1">
        <v>45427</v>
      </c>
      <c r="B54" s="2">
        <v>0.23508101851851851</v>
      </c>
      <c r="C54" t="s">
        <v>44</v>
      </c>
      <c r="D54" t="s">
        <v>45</v>
      </c>
      <c r="E54">
        <v>0.67700000000000005</v>
      </c>
      <c r="F54" t="s">
        <v>46</v>
      </c>
      <c r="G54" t="s">
        <v>47</v>
      </c>
      <c r="H54" t="s">
        <v>45</v>
      </c>
      <c r="I54">
        <v>0.30819999999999997</v>
      </c>
      <c r="J54" t="s">
        <v>46</v>
      </c>
      <c r="K54" t="s">
        <v>48</v>
      </c>
      <c r="L54" t="s">
        <v>49</v>
      </c>
      <c r="M54" t="s">
        <v>50</v>
      </c>
      <c r="N54" t="s">
        <v>51</v>
      </c>
      <c r="O54">
        <v>3.45</v>
      </c>
      <c r="P54">
        <v>8.27</v>
      </c>
      <c r="Q54" t="s">
        <v>46</v>
      </c>
      <c r="R54" t="s">
        <v>52</v>
      </c>
      <c r="S54" t="s">
        <v>53</v>
      </c>
      <c r="T54" t="s">
        <v>46</v>
      </c>
      <c r="U54" t="s">
        <v>54</v>
      </c>
      <c r="V54" t="s">
        <v>55</v>
      </c>
      <c r="W54" t="s">
        <v>340</v>
      </c>
      <c r="X54" t="s">
        <v>119</v>
      </c>
      <c r="Y54">
        <v>1.35</v>
      </c>
      <c r="Z54" t="s">
        <v>46</v>
      </c>
      <c r="AA54" t="s">
        <v>58</v>
      </c>
      <c r="AB54" t="s">
        <v>59</v>
      </c>
      <c r="AC54">
        <v>283</v>
      </c>
      <c r="AD54" t="s">
        <v>46</v>
      </c>
      <c r="AE54" t="s">
        <v>60</v>
      </c>
      <c r="AF54" t="s">
        <v>45</v>
      </c>
      <c r="AG54" t="s">
        <v>46</v>
      </c>
      <c r="AH54" t="s">
        <v>61</v>
      </c>
      <c r="AI54" t="s">
        <v>48</v>
      </c>
      <c r="AJ54" t="s">
        <v>62</v>
      </c>
      <c r="AK54" t="s">
        <v>63</v>
      </c>
      <c r="AL54" t="s">
        <v>64</v>
      </c>
      <c r="AM54" t="s">
        <v>46</v>
      </c>
      <c r="AN54" t="s">
        <v>60</v>
      </c>
      <c r="AO54" t="s">
        <v>62</v>
      </c>
      <c r="AP54" t="s">
        <v>342</v>
      </c>
      <c r="AQ54" t="s">
        <v>66</v>
      </c>
      <c r="AR54" t="s">
        <v>67</v>
      </c>
    </row>
    <row r="55" spans="1:44">
      <c r="A55" s="1">
        <v>45427</v>
      </c>
      <c r="B55" s="2">
        <v>0.2351273148148148</v>
      </c>
      <c r="C55" t="s">
        <v>44</v>
      </c>
      <c r="D55" t="s">
        <v>45</v>
      </c>
      <c r="E55">
        <v>0.46899999999999997</v>
      </c>
      <c r="F55" t="s">
        <v>46</v>
      </c>
      <c r="G55" t="s">
        <v>47</v>
      </c>
      <c r="H55" t="s">
        <v>45</v>
      </c>
      <c r="I55">
        <v>0.30780000000000002</v>
      </c>
      <c r="J55" t="s">
        <v>46</v>
      </c>
      <c r="K55" t="s">
        <v>48</v>
      </c>
      <c r="L55" t="s">
        <v>49</v>
      </c>
      <c r="M55" t="s">
        <v>50</v>
      </c>
      <c r="N55" t="s">
        <v>51</v>
      </c>
      <c r="O55">
        <v>3.45</v>
      </c>
      <c r="P55">
        <v>8.27</v>
      </c>
      <c r="Q55" t="s">
        <v>46</v>
      </c>
      <c r="R55" t="s">
        <v>52</v>
      </c>
      <c r="S55" t="s">
        <v>53</v>
      </c>
      <c r="T55" t="s">
        <v>46</v>
      </c>
      <c r="U55" t="s">
        <v>54</v>
      </c>
      <c r="V55" t="s">
        <v>55</v>
      </c>
      <c r="W55" t="s">
        <v>68</v>
      </c>
      <c r="X55" t="s">
        <v>119</v>
      </c>
      <c r="Y55">
        <v>1.35</v>
      </c>
      <c r="Z55" t="s">
        <v>46</v>
      </c>
      <c r="AA55" t="s">
        <v>58</v>
      </c>
      <c r="AB55" t="s">
        <v>59</v>
      </c>
      <c r="AC55">
        <v>283</v>
      </c>
      <c r="AD55" t="s">
        <v>46</v>
      </c>
      <c r="AE55" t="s">
        <v>60</v>
      </c>
      <c r="AF55" t="s">
        <v>45</v>
      </c>
      <c r="AG55" t="s">
        <v>46</v>
      </c>
      <c r="AH55" t="s">
        <v>61</v>
      </c>
      <c r="AI55" t="s">
        <v>48</v>
      </c>
      <c r="AJ55" t="s">
        <v>62</v>
      </c>
      <c r="AK55" t="s">
        <v>63</v>
      </c>
      <c r="AL55" t="s">
        <v>64</v>
      </c>
      <c r="AM55" t="s">
        <v>46</v>
      </c>
      <c r="AN55" t="s">
        <v>60</v>
      </c>
      <c r="AO55" t="s">
        <v>62</v>
      </c>
      <c r="AP55" t="s">
        <v>343</v>
      </c>
      <c r="AQ55" t="s">
        <v>66</v>
      </c>
      <c r="AR55" t="s">
        <v>67</v>
      </c>
    </row>
    <row r="56" spans="1:44">
      <c r="A56" s="1">
        <v>45427</v>
      </c>
      <c r="B56" s="2">
        <v>0.23518518518518519</v>
      </c>
      <c r="C56" t="s">
        <v>44</v>
      </c>
      <c r="D56" t="s">
        <v>45</v>
      </c>
      <c r="E56">
        <v>0.438</v>
      </c>
      <c r="F56" t="s">
        <v>46</v>
      </c>
      <c r="G56" t="s">
        <v>47</v>
      </c>
      <c r="H56" t="s">
        <v>45</v>
      </c>
      <c r="I56">
        <v>0.30769999999999997</v>
      </c>
      <c r="J56" t="s">
        <v>46</v>
      </c>
      <c r="K56" t="s">
        <v>48</v>
      </c>
      <c r="L56" t="s">
        <v>49</v>
      </c>
      <c r="M56" t="s">
        <v>50</v>
      </c>
      <c r="N56" t="s">
        <v>51</v>
      </c>
      <c r="O56">
        <v>3.45</v>
      </c>
      <c r="P56">
        <v>8.27</v>
      </c>
      <c r="Q56" t="s">
        <v>46</v>
      </c>
      <c r="R56" t="s">
        <v>52</v>
      </c>
      <c r="S56" t="s">
        <v>53</v>
      </c>
      <c r="T56" t="s">
        <v>46</v>
      </c>
      <c r="U56" t="s">
        <v>54</v>
      </c>
      <c r="V56" t="s">
        <v>55</v>
      </c>
      <c r="W56" t="s">
        <v>195</v>
      </c>
      <c r="X56" t="s">
        <v>119</v>
      </c>
      <c r="Y56">
        <v>1.35</v>
      </c>
      <c r="Z56" t="s">
        <v>46</v>
      </c>
      <c r="AA56" t="s">
        <v>58</v>
      </c>
      <c r="AB56" t="s">
        <v>59</v>
      </c>
      <c r="AC56">
        <v>283</v>
      </c>
      <c r="AD56" t="s">
        <v>46</v>
      </c>
      <c r="AE56" t="s">
        <v>60</v>
      </c>
      <c r="AF56" t="s">
        <v>45</v>
      </c>
      <c r="AG56" t="s">
        <v>46</v>
      </c>
      <c r="AH56" t="s">
        <v>61</v>
      </c>
      <c r="AI56" t="s">
        <v>48</v>
      </c>
      <c r="AJ56" t="s">
        <v>62</v>
      </c>
      <c r="AK56" t="s">
        <v>63</v>
      </c>
      <c r="AL56" t="s">
        <v>64</v>
      </c>
      <c r="AM56" t="s">
        <v>46</v>
      </c>
      <c r="AN56" t="s">
        <v>60</v>
      </c>
      <c r="AO56" t="s">
        <v>62</v>
      </c>
      <c r="AP56" t="s">
        <v>344</v>
      </c>
      <c r="AQ56" t="s">
        <v>66</v>
      </c>
      <c r="AR56" t="s">
        <v>67</v>
      </c>
    </row>
    <row r="57" spans="1:44">
      <c r="A57" s="1">
        <v>45427</v>
      </c>
      <c r="B57" s="2">
        <v>0.23523148148148149</v>
      </c>
      <c r="C57" t="s">
        <v>44</v>
      </c>
      <c r="D57" t="s">
        <v>45</v>
      </c>
      <c r="E57">
        <v>0.66700000000000004</v>
      </c>
      <c r="F57" t="s">
        <v>46</v>
      </c>
      <c r="G57" t="s">
        <v>47</v>
      </c>
      <c r="H57" t="s">
        <v>45</v>
      </c>
      <c r="I57">
        <v>0.30759999999999998</v>
      </c>
      <c r="J57" t="s">
        <v>46</v>
      </c>
      <c r="K57" t="s">
        <v>48</v>
      </c>
      <c r="L57" t="s">
        <v>49</v>
      </c>
      <c r="M57" t="s">
        <v>50</v>
      </c>
      <c r="N57" t="s">
        <v>51</v>
      </c>
      <c r="O57">
        <v>3.45</v>
      </c>
      <c r="P57">
        <v>8.27</v>
      </c>
      <c r="Q57" t="s">
        <v>46</v>
      </c>
      <c r="R57" t="s">
        <v>52</v>
      </c>
      <c r="S57" t="s">
        <v>53</v>
      </c>
      <c r="T57" t="s">
        <v>46</v>
      </c>
      <c r="U57" t="s">
        <v>54</v>
      </c>
      <c r="V57" t="s">
        <v>55</v>
      </c>
      <c r="W57" t="s">
        <v>340</v>
      </c>
      <c r="X57" t="s">
        <v>335</v>
      </c>
      <c r="Y57">
        <v>1.35</v>
      </c>
      <c r="Z57" t="s">
        <v>46</v>
      </c>
      <c r="AA57" t="s">
        <v>58</v>
      </c>
      <c r="AB57" t="s">
        <v>59</v>
      </c>
      <c r="AC57">
        <v>283</v>
      </c>
      <c r="AD57" t="s">
        <v>46</v>
      </c>
      <c r="AE57" t="s">
        <v>60</v>
      </c>
      <c r="AF57" t="s">
        <v>45</v>
      </c>
      <c r="AG57" t="s">
        <v>46</v>
      </c>
      <c r="AH57" t="s">
        <v>61</v>
      </c>
      <c r="AI57" t="s">
        <v>48</v>
      </c>
      <c r="AJ57" t="s">
        <v>62</v>
      </c>
      <c r="AK57" t="s">
        <v>63</v>
      </c>
      <c r="AL57" t="s">
        <v>64</v>
      </c>
      <c r="AM57" t="s">
        <v>46</v>
      </c>
      <c r="AN57" t="s">
        <v>60</v>
      </c>
      <c r="AO57" t="s">
        <v>62</v>
      </c>
      <c r="AP57" t="s">
        <v>345</v>
      </c>
      <c r="AQ57" t="s">
        <v>66</v>
      </c>
      <c r="AR57" t="s">
        <v>67</v>
      </c>
    </row>
    <row r="58" spans="1:44">
      <c r="A58" s="1">
        <v>45427</v>
      </c>
      <c r="B58" s="2">
        <v>0.23527777777777778</v>
      </c>
      <c r="C58" t="s">
        <v>44</v>
      </c>
      <c r="D58" t="s">
        <v>45</v>
      </c>
      <c r="E58">
        <v>0.45500000000000002</v>
      </c>
      <c r="F58" t="s">
        <v>46</v>
      </c>
      <c r="G58" t="s">
        <v>47</v>
      </c>
      <c r="H58" t="s">
        <v>45</v>
      </c>
      <c r="I58">
        <v>0.30769999999999997</v>
      </c>
      <c r="J58" t="s">
        <v>46</v>
      </c>
      <c r="K58" t="s">
        <v>48</v>
      </c>
      <c r="L58" t="s">
        <v>49</v>
      </c>
      <c r="M58" t="s">
        <v>50</v>
      </c>
      <c r="N58" t="s">
        <v>51</v>
      </c>
      <c r="O58">
        <v>3.45</v>
      </c>
      <c r="P58">
        <v>8.27</v>
      </c>
      <c r="Q58" t="s">
        <v>46</v>
      </c>
      <c r="R58" t="s">
        <v>52</v>
      </c>
      <c r="S58" t="s">
        <v>53</v>
      </c>
      <c r="T58" t="s">
        <v>46</v>
      </c>
      <c r="U58" t="s">
        <v>54</v>
      </c>
      <c r="V58" t="s">
        <v>55</v>
      </c>
      <c r="W58" t="s">
        <v>68</v>
      </c>
      <c r="X58" t="s">
        <v>335</v>
      </c>
      <c r="Y58">
        <v>1.35</v>
      </c>
      <c r="Z58" t="s">
        <v>46</v>
      </c>
      <c r="AA58" t="s">
        <v>58</v>
      </c>
      <c r="AB58" t="s">
        <v>59</v>
      </c>
      <c r="AC58">
        <v>283</v>
      </c>
      <c r="AD58" t="s">
        <v>46</v>
      </c>
      <c r="AE58" t="s">
        <v>60</v>
      </c>
      <c r="AF58" t="s">
        <v>45</v>
      </c>
      <c r="AG58" t="s">
        <v>46</v>
      </c>
      <c r="AH58" t="s">
        <v>61</v>
      </c>
      <c r="AI58" t="s">
        <v>48</v>
      </c>
      <c r="AJ58" t="s">
        <v>62</v>
      </c>
      <c r="AK58" t="s">
        <v>63</v>
      </c>
      <c r="AL58" t="s">
        <v>64</v>
      </c>
      <c r="AM58" t="s">
        <v>46</v>
      </c>
      <c r="AN58" t="s">
        <v>60</v>
      </c>
      <c r="AO58" t="s">
        <v>62</v>
      </c>
      <c r="AP58" t="s">
        <v>346</v>
      </c>
      <c r="AQ58" t="s">
        <v>66</v>
      </c>
      <c r="AR58" t="s">
        <v>67</v>
      </c>
    </row>
    <row r="59" spans="1:44">
      <c r="A59" s="1">
        <v>45427</v>
      </c>
      <c r="B59" s="2">
        <v>0.23532407407407407</v>
      </c>
      <c r="C59" t="s">
        <v>44</v>
      </c>
      <c r="D59" t="s">
        <v>45</v>
      </c>
      <c r="E59">
        <v>0.438</v>
      </c>
      <c r="F59" t="s">
        <v>46</v>
      </c>
      <c r="G59" t="s">
        <v>47</v>
      </c>
      <c r="H59" t="s">
        <v>45</v>
      </c>
      <c r="I59">
        <v>0.30769999999999997</v>
      </c>
      <c r="J59" t="s">
        <v>46</v>
      </c>
      <c r="K59" t="s">
        <v>48</v>
      </c>
      <c r="L59" t="s">
        <v>49</v>
      </c>
      <c r="M59" t="s">
        <v>50</v>
      </c>
      <c r="N59" t="s">
        <v>51</v>
      </c>
      <c r="O59">
        <v>3.45</v>
      </c>
      <c r="P59">
        <v>8.27</v>
      </c>
      <c r="Q59" t="s">
        <v>46</v>
      </c>
      <c r="R59" t="s">
        <v>52</v>
      </c>
      <c r="S59" t="s">
        <v>53</v>
      </c>
      <c r="T59" t="s">
        <v>46</v>
      </c>
      <c r="U59" t="s">
        <v>54</v>
      </c>
      <c r="V59" t="s">
        <v>55</v>
      </c>
      <c r="W59" t="s">
        <v>195</v>
      </c>
      <c r="X59" t="s">
        <v>335</v>
      </c>
      <c r="Y59">
        <v>1.35</v>
      </c>
      <c r="Z59" t="s">
        <v>46</v>
      </c>
      <c r="AA59" t="s">
        <v>58</v>
      </c>
      <c r="AB59" t="s">
        <v>59</v>
      </c>
      <c r="AC59">
        <v>283</v>
      </c>
      <c r="AD59" t="s">
        <v>46</v>
      </c>
      <c r="AE59" t="s">
        <v>60</v>
      </c>
      <c r="AF59" t="s">
        <v>45</v>
      </c>
      <c r="AG59" t="s">
        <v>46</v>
      </c>
      <c r="AH59" t="s">
        <v>61</v>
      </c>
      <c r="AI59" t="s">
        <v>48</v>
      </c>
      <c r="AJ59" t="s">
        <v>62</v>
      </c>
      <c r="AK59" t="s">
        <v>63</v>
      </c>
      <c r="AL59" t="s">
        <v>64</v>
      </c>
      <c r="AM59" t="s">
        <v>46</v>
      </c>
      <c r="AN59" t="s">
        <v>60</v>
      </c>
      <c r="AO59" t="s">
        <v>62</v>
      </c>
      <c r="AP59" t="s">
        <v>347</v>
      </c>
      <c r="AQ59" t="s">
        <v>66</v>
      </c>
      <c r="AR59" t="s">
        <v>67</v>
      </c>
    </row>
    <row r="60" spans="1:44">
      <c r="A60" s="1">
        <v>45427</v>
      </c>
      <c r="B60" s="2">
        <v>0.23538194444444444</v>
      </c>
      <c r="C60" t="s">
        <v>44</v>
      </c>
      <c r="D60" t="s">
        <v>45</v>
      </c>
      <c r="E60">
        <v>0.59399999999999997</v>
      </c>
      <c r="F60" t="s">
        <v>46</v>
      </c>
      <c r="G60" t="s">
        <v>47</v>
      </c>
      <c r="H60" t="s">
        <v>45</v>
      </c>
      <c r="I60">
        <v>0.30759999999999998</v>
      </c>
      <c r="J60" t="s">
        <v>46</v>
      </c>
      <c r="K60" t="s">
        <v>48</v>
      </c>
      <c r="L60" t="s">
        <v>49</v>
      </c>
      <c r="M60" t="s">
        <v>50</v>
      </c>
      <c r="N60" t="s">
        <v>51</v>
      </c>
      <c r="O60">
        <v>3.45</v>
      </c>
      <c r="P60">
        <v>8.27</v>
      </c>
      <c r="Q60" t="s">
        <v>46</v>
      </c>
      <c r="R60" t="s">
        <v>52</v>
      </c>
      <c r="S60" t="s">
        <v>53</v>
      </c>
      <c r="T60" t="s">
        <v>46</v>
      </c>
      <c r="U60" t="s">
        <v>54</v>
      </c>
      <c r="V60" t="s">
        <v>55</v>
      </c>
      <c r="W60" t="s">
        <v>195</v>
      </c>
      <c r="X60" t="s">
        <v>335</v>
      </c>
      <c r="Y60">
        <v>1.35</v>
      </c>
      <c r="Z60" t="s">
        <v>46</v>
      </c>
      <c r="AA60" t="s">
        <v>58</v>
      </c>
      <c r="AB60" t="s">
        <v>59</v>
      </c>
      <c r="AC60">
        <v>283</v>
      </c>
      <c r="AD60" t="s">
        <v>46</v>
      </c>
      <c r="AE60" t="s">
        <v>60</v>
      </c>
      <c r="AF60" t="s">
        <v>45</v>
      </c>
      <c r="AG60" t="s">
        <v>46</v>
      </c>
      <c r="AH60" t="s">
        <v>61</v>
      </c>
      <c r="AI60" t="s">
        <v>48</v>
      </c>
      <c r="AJ60" t="s">
        <v>62</v>
      </c>
      <c r="AK60" t="s">
        <v>63</v>
      </c>
      <c r="AL60" t="s">
        <v>64</v>
      </c>
      <c r="AM60" t="s">
        <v>46</v>
      </c>
      <c r="AN60" t="s">
        <v>60</v>
      </c>
      <c r="AO60" t="s">
        <v>62</v>
      </c>
      <c r="AP60" t="s">
        <v>348</v>
      </c>
      <c r="AQ60" t="s">
        <v>66</v>
      </c>
      <c r="AR60" t="s">
        <v>67</v>
      </c>
    </row>
    <row r="61" spans="1:44">
      <c r="A61" s="1">
        <v>45427</v>
      </c>
      <c r="B61" s="2">
        <v>0.23542824074074073</v>
      </c>
      <c r="C61" t="s">
        <v>44</v>
      </c>
      <c r="D61" t="s">
        <v>45</v>
      </c>
      <c r="E61">
        <v>0.88900000000000001</v>
      </c>
      <c r="F61" t="s">
        <v>46</v>
      </c>
      <c r="G61" t="s">
        <v>47</v>
      </c>
      <c r="H61" t="s">
        <v>45</v>
      </c>
      <c r="I61">
        <v>0.30809999999999998</v>
      </c>
      <c r="J61" t="s">
        <v>46</v>
      </c>
      <c r="K61" t="s">
        <v>48</v>
      </c>
      <c r="L61" t="s">
        <v>49</v>
      </c>
      <c r="M61" t="s">
        <v>50</v>
      </c>
      <c r="N61" t="s">
        <v>51</v>
      </c>
      <c r="O61">
        <v>3.45</v>
      </c>
      <c r="P61">
        <v>8.27</v>
      </c>
      <c r="Q61" t="s">
        <v>46</v>
      </c>
      <c r="R61" t="s">
        <v>52</v>
      </c>
      <c r="S61" t="s">
        <v>53</v>
      </c>
      <c r="T61" t="s">
        <v>46</v>
      </c>
      <c r="U61" t="s">
        <v>54</v>
      </c>
      <c r="V61" t="s">
        <v>55</v>
      </c>
      <c r="W61" t="s">
        <v>88</v>
      </c>
      <c r="X61" t="s">
        <v>310</v>
      </c>
      <c r="Y61">
        <v>1.34</v>
      </c>
      <c r="Z61" t="s">
        <v>46</v>
      </c>
      <c r="AA61" t="s">
        <v>58</v>
      </c>
      <c r="AB61" t="s">
        <v>59</v>
      </c>
      <c r="AC61">
        <v>284</v>
      </c>
      <c r="AD61" t="s">
        <v>46</v>
      </c>
      <c r="AE61" t="s">
        <v>60</v>
      </c>
      <c r="AF61" t="s">
        <v>45</v>
      </c>
      <c r="AG61" t="s">
        <v>46</v>
      </c>
      <c r="AH61" t="s">
        <v>61</v>
      </c>
      <c r="AI61" t="s">
        <v>48</v>
      </c>
      <c r="AJ61" t="s">
        <v>62</v>
      </c>
      <c r="AK61" t="s">
        <v>63</v>
      </c>
      <c r="AL61" t="s">
        <v>64</v>
      </c>
      <c r="AM61" t="s">
        <v>46</v>
      </c>
      <c r="AN61" t="s">
        <v>60</v>
      </c>
      <c r="AO61" t="s">
        <v>62</v>
      </c>
      <c r="AP61" t="s">
        <v>349</v>
      </c>
      <c r="AQ61" t="s">
        <v>66</v>
      </c>
      <c r="AR61" t="s">
        <v>67</v>
      </c>
    </row>
    <row r="62" spans="1:44">
      <c r="A62" s="1">
        <v>45427</v>
      </c>
      <c r="B62" s="2">
        <v>0.23547453703703702</v>
      </c>
      <c r="C62" t="s">
        <v>44</v>
      </c>
      <c r="D62" t="s">
        <v>45</v>
      </c>
      <c r="E62">
        <v>0.42399999999999999</v>
      </c>
      <c r="F62" t="s">
        <v>46</v>
      </c>
      <c r="G62" t="s">
        <v>47</v>
      </c>
      <c r="H62" t="s">
        <v>45</v>
      </c>
      <c r="I62">
        <v>0.30809999999999998</v>
      </c>
      <c r="J62" t="s">
        <v>46</v>
      </c>
      <c r="K62" t="s">
        <v>48</v>
      </c>
      <c r="L62" t="s">
        <v>49</v>
      </c>
      <c r="M62" t="s">
        <v>50</v>
      </c>
      <c r="N62" t="s">
        <v>51</v>
      </c>
      <c r="O62">
        <v>3.45</v>
      </c>
      <c r="P62">
        <v>8.27</v>
      </c>
      <c r="Q62" t="s">
        <v>46</v>
      </c>
      <c r="R62" t="s">
        <v>52</v>
      </c>
      <c r="S62" t="s">
        <v>53</v>
      </c>
      <c r="T62" t="s">
        <v>46</v>
      </c>
      <c r="U62" t="s">
        <v>54</v>
      </c>
      <c r="V62" t="s">
        <v>55</v>
      </c>
      <c r="W62" t="s">
        <v>350</v>
      </c>
      <c r="X62" t="s">
        <v>310</v>
      </c>
      <c r="Y62">
        <v>1.34</v>
      </c>
      <c r="Z62" t="s">
        <v>46</v>
      </c>
      <c r="AA62" t="s">
        <v>58</v>
      </c>
      <c r="AB62" t="s">
        <v>59</v>
      </c>
      <c r="AC62">
        <v>283</v>
      </c>
      <c r="AD62" t="s">
        <v>46</v>
      </c>
      <c r="AE62" t="s">
        <v>60</v>
      </c>
      <c r="AF62" t="s">
        <v>45</v>
      </c>
      <c r="AG62" t="s">
        <v>46</v>
      </c>
      <c r="AH62" t="s">
        <v>61</v>
      </c>
      <c r="AI62" t="s">
        <v>48</v>
      </c>
      <c r="AJ62" t="s">
        <v>62</v>
      </c>
      <c r="AK62" t="s">
        <v>63</v>
      </c>
      <c r="AL62" t="s">
        <v>64</v>
      </c>
      <c r="AM62" t="s">
        <v>46</v>
      </c>
      <c r="AN62" t="s">
        <v>60</v>
      </c>
      <c r="AO62" t="s">
        <v>62</v>
      </c>
      <c r="AP62" t="s">
        <v>351</v>
      </c>
      <c r="AQ62" t="s">
        <v>66</v>
      </c>
      <c r="AR62" t="s">
        <v>67</v>
      </c>
    </row>
    <row r="63" spans="1:44">
      <c r="A63" s="1">
        <v>45427</v>
      </c>
      <c r="B63" s="2">
        <v>0.23552083333333335</v>
      </c>
      <c r="C63" t="s">
        <v>44</v>
      </c>
      <c r="D63" t="s">
        <v>45</v>
      </c>
      <c r="E63">
        <v>0.65600000000000003</v>
      </c>
      <c r="F63" t="s">
        <v>46</v>
      </c>
      <c r="G63" t="s">
        <v>47</v>
      </c>
      <c r="H63" t="s">
        <v>45</v>
      </c>
      <c r="I63">
        <v>0.30809999999999998</v>
      </c>
      <c r="J63" t="s">
        <v>46</v>
      </c>
      <c r="K63" t="s">
        <v>48</v>
      </c>
      <c r="L63" t="s">
        <v>49</v>
      </c>
      <c r="M63" t="s">
        <v>50</v>
      </c>
      <c r="N63" t="s">
        <v>51</v>
      </c>
      <c r="O63">
        <v>3.45</v>
      </c>
      <c r="P63">
        <v>8.27</v>
      </c>
      <c r="Q63" t="s">
        <v>46</v>
      </c>
      <c r="R63" t="s">
        <v>52</v>
      </c>
      <c r="S63" t="s">
        <v>53</v>
      </c>
      <c r="T63" t="s">
        <v>46</v>
      </c>
      <c r="U63" t="s">
        <v>54</v>
      </c>
      <c r="V63" t="s">
        <v>55</v>
      </c>
      <c r="W63" t="s">
        <v>114</v>
      </c>
      <c r="X63" t="s">
        <v>310</v>
      </c>
      <c r="Y63">
        <v>1.34</v>
      </c>
      <c r="Z63" t="s">
        <v>46</v>
      </c>
      <c r="AA63" t="s">
        <v>58</v>
      </c>
      <c r="AB63" t="s">
        <v>59</v>
      </c>
      <c r="AC63">
        <v>283</v>
      </c>
      <c r="AD63" t="s">
        <v>46</v>
      </c>
      <c r="AE63" t="s">
        <v>60</v>
      </c>
      <c r="AF63" t="s">
        <v>45</v>
      </c>
      <c r="AG63" t="s">
        <v>46</v>
      </c>
      <c r="AH63" t="s">
        <v>61</v>
      </c>
      <c r="AI63" t="s">
        <v>48</v>
      </c>
      <c r="AJ63" t="s">
        <v>62</v>
      </c>
      <c r="AK63" t="s">
        <v>63</v>
      </c>
      <c r="AL63" t="s">
        <v>64</v>
      </c>
      <c r="AM63" t="s">
        <v>46</v>
      </c>
      <c r="AN63" t="s">
        <v>60</v>
      </c>
      <c r="AO63" t="s">
        <v>62</v>
      </c>
      <c r="AP63" t="s">
        <v>352</v>
      </c>
      <c r="AQ63" t="s">
        <v>66</v>
      </c>
      <c r="AR63" t="s">
        <v>67</v>
      </c>
    </row>
    <row r="64" spans="1:44">
      <c r="A64" s="1">
        <v>45427</v>
      </c>
      <c r="B64" s="2">
        <v>0.23556712962962964</v>
      </c>
      <c r="C64" t="s">
        <v>44</v>
      </c>
      <c r="D64" t="s">
        <v>45</v>
      </c>
      <c r="E64">
        <v>0.438</v>
      </c>
      <c r="F64" t="s">
        <v>46</v>
      </c>
      <c r="G64" t="s">
        <v>47</v>
      </c>
      <c r="H64" t="s">
        <v>45</v>
      </c>
      <c r="I64">
        <v>0.30819999999999997</v>
      </c>
      <c r="J64" t="s">
        <v>46</v>
      </c>
      <c r="K64" t="s">
        <v>48</v>
      </c>
      <c r="L64" t="s">
        <v>49</v>
      </c>
      <c r="M64" t="s">
        <v>50</v>
      </c>
      <c r="N64" t="s">
        <v>51</v>
      </c>
      <c r="O64">
        <v>3.45</v>
      </c>
      <c r="P64">
        <v>8.27</v>
      </c>
      <c r="Q64" t="s">
        <v>46</v>
      </c>
      <c r="R64" t="s">
        <v>52</v>
      </c>
      <c r="S64" t="s">
        <v>53</v>
      </c>
      <c r="T64" t="s">
        <v>46</v>
      </c>
      <c r="U64" t="s">
        <v>54</v>
      </c>
      <c r="V64" t="s">
        <v>55</v>
      </c>
      <c r="W64" t="s">
        <v>71</v>
      </c>
      <c r="X64" t="s">
        <v>92</v>
      </c>
      <c r="Y64">
        <v>1.35</v>
      </c>
      <c r="Z64" t="s">
        <v>46</v>
      </c>
      <c r="AA64" t="s">
        <v>58</v>
      </c>
      <c r="AB64" t="s">
        <v>59</v>
      </c>
      <c r="AC64">
        <v>283</v>
      </c>
      <c r="AD64" t="s">
        <v>46</v>
      </c>
      <c r="AE64" t="s">
        <v>60</v>
      </c>
      <c r="AF64" t="s">
        <v>45</v>
      </c>
      <c r="AG64" t="s">
        <v>46</v>
      </c>
      <c r="AH64" t="s">
        <v>61</v>
      </c>
      <c r="AI64" t="s">
        <v>48</v>
      </c>
      <c r="AJ64" t="s">
        <v>62</v>
      </c>
      <c r="AK64" t="s">
        <v>63</v>
      </c>
      <c r="AL64" t="s">
        <v>64</v>
      </c>
      <c r="AM64" t="s">
        <v>46</v>
      </c>
      <c r="AN64" t="s">
        <v>60</v>
      </c>
      <c r="AO64" t="s">
        <v>62</v>
      </c>
      <c r="AP64" t="s">
        <v>353</v>
      </c>
      <c r="AQ64" t="s">
        <v>66</v>
      </c>
      <c r="AR64" t="s">
        <v>67</v>
      </c>
    </row>
    <row r="65" spans="1:44">
      <c r="A65" s="1">
        <v>45427</v>
      </c>
      <c r="B65" s="2">
        <v>0.235625</v>
      </c>
      <c r="C65" t="s">
        <v>44</v>
      </c>
      <c r="D65" t="s">
        <v>45</v>
      </c>
      <c r="E65">
        <v>0.46899999999999997</v>
      </c>
      <c r="F65" t="s">
        <v>46</v>
      </c>
      <c r="G65" t="s">
        <v>47</v>
      </c>
      <c r="H65" t="s">
        <v>45</v>
      </c>
      <c r="I65">
        <v>0.30819999999999997</v>
      </c>
      <c r="J65" t="s">
        <v>46</v>
      </c>
      <c r="K65" t="s">
        <v>48</v>
      </c>
      <c r="L65" t="s">
        <v>49</v>
      </c>
      <c r="M65" t="s">
        <v>50</v>
      </c>
      <c r="N65" t="s">
        <v>51</v>
      </c>
      <c r="O65">
        <v>3.45</v>
      </c>
      <c r="P65">
        <v>8.27</v>
      </c>
      <c r="Q65" t="s">
        <v>46</v>
      </c>
      <c r="R65" t="s">
        <v>52</v>
      </c>
      <c r="S65" t="s">
        <v>53</v>
      </c>
      <c r="T65" t="s">
        <v>46</v>
      </c>
      <c r="U65" t="s">
        <v>54</v>
      </c>
      <c r="V65" t="s">
        <v>55</v>
      </c>
      <c r="W65" t="s">
        <v>340</v>
      </c>
      <c r="X65" t="s">
        <v>92</v>
      </c>
      <c r="Y65">
        <v>1.35</v>
      </c>
      <c r="Z65" t="s">
        <v>46</v>
      </c>
      <c r="AA65" t="s">
        <v>58</v>
      </c>
      <c r="AB65" t="s">
        <v>59</v>
      </c>
      <c r="AC65">
        <v>283</v>
      </c>
      <c r="AD65" t="s">
        <v>46</v>
      </c>
      <c r="AE65" t="s">
        <v>60</v>
      </c>
      <c r="AF65" t="s">
        <v>45</v>
      </c>
      <c r="AG65" t="s">
        <v>46</v>
      </c>
      <c r="AH65" t="s">
        <v>61</v>
      </c>
      <c r="AI65" t="s">
        <v>48</v>
      </c>
      <c r="AJ65" t="s">
        <v>62</v>
      </c>
      <c r="AK65" t="s">
        <v>63</v>
      </c>
      <c r="AL65" t="s">
        <v>64</v>
      </c>
      <c r="AM65" t="s">
        <v>46</v>
      </c>
      <c r="AN65" t="s">
        <v>60</v>
      </c>
      <c r="AO65" t="s">
        <v>62</v>
      </c>
      <c r="AP65" t="s">
        <v>354</v>
      </c>
      <c r="AQ65" t="s">
        <v>66</v>
      </c>
      <c r="AR65" t="s">
        <v>67</v>
      </c>
    </row>
    <row r="66" spans="1:44">
      <c r="A66" s="1">
        <v>45427</v>
      </c>
      <c r="B66" s="2">
        <v>0.2356712962962963</v>
      </c>
      <c r="C66" t="s">
        <v>44</v>
      </c>
      <c r="D66" t="s">
        <v>45</v>
      </c>
      <c r="E66">
        <v>0.97</v>
      </c>
      <c r="F66" t="s">
        <v>46</v>
      </c>
      <c r="G66" t="s">
        <v>47</v>
      </c>
      <c r="H66" t="s">
        <v>45</v>
      </c>
      <c r="I66">
        <v>0.30819999999999997</v>
      </c>
      <c r="J66" t="s">
        <v>46</v>
      </c>
      <c r="K66" t="s">
        <v>48</v>
      </c>
      <c r="L66" t="s">
        <v>49</v>
      </c>
      <c r="M66" t="s">
        <v>50</v>
      </c>
      <c r="N66" t="s">
        <v>51</v>
      </c>
      <c r="O66">
        <v>3.45</v>
      </c>
      <c r="P66">
        <v>8.27</v>
      </c>
      <c r="Q66" t="s">
        <v>46</v>
      </c>
      <c r="R66" t="s">
        <v>52</v>
      </c>
      <c r="S66" t="s">
        <v>53</v>
      </c>
      <c r="T66" t="s">
        <v>46</v>
      </c>
      <c r="U66" t="s">
        <v>54</v>
      </c>
      <c r="V66" t="s">
        <v>55</v>
      </c>
      <c r="W66" t="s">
        <v>154</v>
      </c>
      <c r="X66" t="s">
        <v>355</v>
      </c>
      <c r="Y66">
        <v>1.34</v>
      </c>
      <c r="Z66" t="s">
        <v>46</v>
      </c>
      <c r="AA66" t="s">
        <v>58</v>
      </c>
      <c r="AB66" t="s">
        <v>59</v>
      </c>
      <c r="AC66">
        <v>284</v>
      </c>
      <c r="AD66" t="s">
        <v>46</v>
      </c>
      <c r="AE66" t="s">
        <v>60</v>
      </c>
      <c r="AF66" t="s">
        <v>45</v>
      </c>
      <c r="AG66" t="s">
        <v>46</v>
      </c>
      <c r="AH66" t="s">
        <v>61</v>
      </c>
      <c r="AI66" t="s">
        <v>48</v>
      </c>
      <c r="AJ66" t="s">
        <v>62</v>
      </c>
      <c r="AK66" t="s">
        <v>63</v>
      </c>
      <c r="AL66" t="s">
        <v>64</v>
      </c>
      <c r="AM66" t="s">
        <v>46</v>
      </c>
      <c r="AN66" t="s">
        <v>60</v>
      </c>
      <c r="AO66" t="s">
        <v>62</v>
      </c>
      <c r="AP66" t="s">
        <v>356</v>
      </c>
      <c r="AQ66" t="s">
        <v>66</v>
      </c>
      <c r="AR66" t="s">
        <v>67</v>
      </c>
    </row>
    <row r="67" spans="1:44">
      <c r="A67" s="1">
        <v>45427</v>
      </c>
      <c r="B67" s="2">
        <v>0.23571759259259259</v>
      </c>
      <c r="C67" t="s">
        <v>44</v>
      </c>
      <c r="D67" t="s">
        <v>45</v>
      </c>
      <c r="E67">
        <v>0.5</v>
      </c>
      <c r="F67" t="s">
        <v>46</v>
      </c>
      <c r="G67" t="s">
        <v>47</v>
      </c>
      <c r="H67" t="s">
        <v>45</v>
      </c>
      <c r="I67">
        <v>0.30769999999999997</v>
      </c>
      <c r="J67" t="s">
        <v>46</v>
      </c>
      <c r="K67" t="s">
        <v>48</v>
      </c>
      <c r="L67" t="s">
        <v>49</v>
      </c>
      <c r="M67" t="s">
        <v>50</v>
      </c>
      <c r="N67" t="s">
        <v>51</v>
      </c>
      <c r="O67">
        <v>3.45</v>
      </c>
      <c r="P67">
        <v>8.27</v>
      </c>
      <c r="Q67" t="s">
        <v>46</v>
      </c>
      <c r="R67" t="s">
        <v>52</v>
      </c>
      <c r="S67" t="s">
        <v>53</v>
      </c>
      <c r="T67" t="s">
        <v>46</v>
      </c>
      <c r="U67" t="s">
        <v>54</v>
      </c>
      <c r="V67" t="s">
        <v>55</v>
      </c>
      <c r="W67" t="s">
        <v>154</v>
      </c>
      <c r="X67" t="s">
        <v>355</v>
      </c>
      <c r="Y67">
        <v>1.34</v>
      </c>
      <c r="Z67" t="s">
        <v>46</v>
      </c>
      <c r="AA67" t="s">
        <v>58</v>
      </c>
      <c r="AB67" t="s">
        <v>59</v>
      </c>
      <c r="AC67">
        <v>283</v>
      </c>
      <c r="AD67" t="s">
        <v>46</v>
      </c>
      <c r="AE67" t="s">
        <v>60</v>
      </c>
      <c r="AF67" t="s">
        <v>45</v>
      </c>
      <c r="AG67" t="s">
        <v>46</v>
      </c>
      <c r="AH67" t="s">
        <v>61</v>
      </c>
      <c r="AI67" t="s">
        <v>48</v>
      </c>
      <c r="AJ67" t="s">
        <v>62</v>
      </c>
      <c r="AK67" t="s">
        <v>63</v>
      </c>
      <c r="AL67" t="s">
        <v>64</v>
      </c>
      <c r="AM67" t="s">
        <v>46</v>
      </c>
      <c r="AN67" t="s">
        <v>60</v>
      </c>
      <c r="AO67" t="s">
        <v>62</v>
      </c>
      <c r="AP67" t="s">
        <v>357</v>
      </c>
      <c r="AQ67" t="s">
        <v>66</v>
      </c>
      <c r="AR67" t="s">
        <v>67</v>
      </c>
    </row>
    <row r="68" spans="1:44">
      <c r="A68" s="1">
        <v>45427</v>
      </c>
      <c r="B68" s="2">
        <v>0.23576388888888888</v>
      </c>
      <c r="C68" t="s">
        <v>44</v>
      </c>
      <c r="D68" t="s">
        <v>45</v>
      </c>
      <c r="E68">
        <v>0.48499999999999999</v>
      </c>
      <c r="F68" t="s">
        <v>46</v>
      </c>
      <c r="G68" t="s">
        <v>47</v>
      </c>
      <c r="H68" t="s">
        <v>45</v>
      </c>
      <c r="I68">
        <v>0.30790000000000001</v>
      </c>
      <c r="J68" t="s">
        <v>46</v>
      </c>
      <c r="K68" t="s">
        <v>48</v>
      </c>
      <c r="L68" t="s">
        <v>49</v>
      </c>
      <c r="M68" t="s">
        <v>50</v>
      </c>
      <c r="N68" t="s">
        <v>51</v>
      </c>
      <c r="O68">
        <v>3.45</v>
      </c>
      <c r="P68">
        <v>8.27</v>
      </c>
      <c r="Q68" t="s">
        <v>46</v>
      </c>
      <c r="R68" t="s">
        <v>52</v>
      </c>
      <c r="S68" t="s">
        <v>53</v>
      </c>
      <c r="T68" t="s">
        <v>46</v>
      </c>
      <c r="U68" t="s">
        <v>54</v>
      </c>
      <c r="V68" t="s">
        <v>55</v>
      </c>
      <c r="W68" t="s">
        <v>358</v>
      </c>
      <c r="X68" t="s">
        <v>355</v>
      </c>
      <c r="Y68">
        <v>1.34</v>
      </c>
      <c r="Z68" t="s">
        <v>46</v>
      </c>
      <c r="AA68" t="s">
        <v>58</v>
      </c>
      <c r="AB68" t="s">
        <v>59</v>
      </c>
      <c r="AC68">
        <v>283</v>
      </c>
      <c r="AD68" t="s">
        <v>46</v>
      </c>
      <c r="AE68" t="s">
        <v>60</v>
      </c>
      <c r="AF68" t="s">
        <v>45</v>
      </c>
      <c r="AG68" t="s">
        <v>46</v>
      </c>
      <c r="AH68" t="s">
        <v>61</v>
      </c>
      <c r="AI68" t="s">
        <v>48</v>
      </c>
      <c r="AJ68" t="s">
        <v>62</v>
      </c>
      <c r="AK68" t="s">
        <v>63</v>
      </c>
      <c r="AL68" t="s">
        <v>64</v>
      </c>
      <c r="AM68" t="s">
        <v>46</v>
      </c>
      <c r="AN68" t="s">
        <v>60</v>
      </c>
      <c r="AO68" t="s">
        <v>62</v>
      </c>
      <c r="AP68" t="s">
        <v>359</v>
      </c>
      <c r="AQ68" t="s">
        <v>66</v>
      </c>
      <c r="AR68" t="s">
        <v>67</v>
      </c>
    </row>
    <row r="69" spans="1:44">
      <c r="A69" s="1">
        <v>45427</v>
      </c>
      <c r="B69" s="2">
        <v>0.23582175925925927</v>
      </c>
      <c r="C69" t="s">
        <v>44</v>
      </c>
      <c r="D69" t="s">
        <v>45</v>
      </c>
      <c r="E69">
        <v>0.93799999999999994</v>
      </c>
      <c r="F69" t="s">
        <v>46</v>
      </c>
      <c r="G69" t="s">
        <v>47</v>
      </c>
      <c r="H69" t="s">
        <v>45</v>
      </c>
      <c r="I69">
        <v>0.308</v>
      </c>
      <c r="J69" t="s">
        <v>46</v>
      </c>
      <c r="K69" t="s">
        <v>48</v>
      </c>
      <c r="L69" t="s">
        <v>49</v>
      </c>
      <c r="M69" t="s">
        <v>50</v>
      </c>
      <c r="N69" t="s">
        <v>51</v>
      </c>
      <c r="O69">
        <v>3.45</v>
      </c>
      <c r="P69">
        <v>8.27</v>
      </c>
      <c r="Q69" t="s">
        <v>46</v>
      </c>
      <c r="R69" t="s">
        <v>52</v>
      </c>
      <c r="S69" t="s">
        <v>53</v>
      </c>
      <c r="T69" t="s">
        <v>46</v>
      </c>
      <c r="U69" t="s">
        <v>54</v>
      </c>
      <c r="V69" t="s">
        <v>55</v>
      </c>
      <c r="W69" t="s">
        <v>360</v>
      </c>
      <c r="X69" t="s">
        <v>95</v>
      </c>
      <c r="Y69">
        <v>1.34</v>
      </c>
      <c r="Z69" t="s">
        <v>46</v>
      </c>
      <c r="AA69" t="s">
        <v>58</v>
      </c>
      <c r="AB69" t="s">
        <v>59</v>
      </c>
      <c r="AC69">
        <v>284</v>
      </c>
      <c r="AD69" t="s">
        <v>46</v>
      </c>
      <c r="AE69" t="s">
        <v>60</v>
      </c>
      <c r="AF69" t="s">
        <v>45</v>
      </c>
      <c r="AG69" t="s">
        <v>46</v>
      </c>
      <c r="AH69" t="s">
        <v>61</v>
      </c>
      <c r="AI69" t="s">
        <v>48</v>
      </c>
      <c r="AJ69" t="s">
        <v>62</v>
      </c>
      <c r="AK69" t="s">
        <v>63</v>
      </c>
      <c r="AL69" t="s">
        <v>64</v>
      </c>
      <c r="AM69" t="s">
        <v>46</v>
      </c>
      <c r="AN69" t="s">
        <v>60</v>
      </c>
      <c r="AO69" t="s">
        <v>62</v>
      </c>
      <c r="AP69" t="s">
        <v>361</v>
      </c>
      <c r="AQ69" t="s">
        <v>66</v>
      </c>
      <c r="AR69" t="s">
        <v>67</v>
      </c>
    </row>
    <row r="70" spans="1:44">
      <c r="A70" s="1">
        <v>45427</v>
      </c>
      <c r="B70" s="2">
        <v>0.23586805555555557</v>
      </c>
      <c r="C70" t="s">
        <v>44</v>
      </c>
      <c r="D70" t="s">
        <v>45</v>
      </c>
      <c r="E70">
        <v>0.46899999999999997</v>
      </c>
      <c r="F70" t="s">
        <v>46</v>
      </c>
      <c r="G70" t="s">
        <v>47</v>
      </c>
      <c r="H70" t="s">
        <v>45</v>
      </c>
      <c r="I70">
        <v>0.308</v>
      </c>
      <c r="J70" t="s">
        <v>46</v>
      </c>
      <c r="K70" t="s">
        <v>48</v>
      </c>
      <c r="L70" t="s">
        <v>49</v>
      </c>
      <c r="M70" t="s">
        <v>50</v>
      </c>
      <c r="N70" t="s">
        <v>51</v>
      </c>
      <c r="O70">
        <v>3.45</v>
      </c>
      <c r="P70">
        <v>8.27</v>
      </c>
      <c r="Q70" t="s">
        <v>46</v>
      </c>
      <c r="R70" t="s">
        <v>52</v>
      </c>
      <c r="S70" t="s">
        <v>53</v>
      </c>
      <c r="T70" t="s">
        <v>46</v>
      </c>
      <c r="U70" t="s">
        <v>54</v>
      </c>
      <c r="V70" t="s">
        <v>55</v>
      </c>
      <c r="W70" t="s">
        <v>198</v>
      </c>
      <c r="X70" t="s">
        <v>355</v>
      </c>
      <c r="Y70">
        <v>1.34</v>
      </c>
      <c r="Z70" t="s">
        <v>46</v>
      </c>
      <c r="AA70" t="s">
        <v>58</v>
      </c>
      <c r="AB70" t="s">
        <v>59</v>
      </c>
      <c r="AC70">
        <v>283</v>
      </c>
      <c r="AD70" t="s">
        <v>46</v>
      </c>
      <c r="AE70" t="s">
        <v>60</v>
      </c>
      <c r="AF70" t="s">
        <v>45</v>
      </c>
      <c r="AG70" t="s">
        <v>46</v>
      </c>
      <c r="AH70" t="s">
        <v>61</v>
      </c>
      <c r="AI70" t="s">
        <v>48</v>
      </c>
      <c r="AJ70" t="s">
        <v>62</v>
      </c>
      <c r="AK70" t="s">
        <v>63</v>
      </c>
      <c r="AL70" t="s">
        <v>64</v>
      </c>
      <c r="AM70" t="s">
        <v>46</v>
      </c>
      <c r="AN70" t="s">
        <v>60</v>
      </c>
      <c r="AO70" t="s">
        <v>62</v>
      </c>
      <c r="AP70" t="s">
        <v>362</v>
      </c>
      <c r="AQ70" t="s">
        <v>66</v>
      </c>
      <c r="AR70" t="s">
        <v>67</v>
      </c>
    </row>
    <row r="71" spans="1:44">
      <c r="A71" s="1">
        <v>45427</v>
      </c>
      <c r="B71" s="2">
        <v>0.23591435185185186</v>
      </c>
      <c r="C71" t="s">
        <v>44</v>
      </c>
      <c r="D71" t="s">
        <v>45</v>
      </c>
      <c r="E71">
        <v>0.46899999999999997</v>
      </c>
      <c r="F71" t="s">
        <v>46</v>
      </c>
      <c r="G71" t="s">
        <v>47</v>
      </c>
      <c r="H71" t="s">
        <v>45</v>
      </c>
      <c r="I71">
        <v>0.30790000000000001</v>
      </c>
      <c r="J71" t="s">
        <v>46</v>
      </c>
      <c r="K71" t="s">
        <v>48</v>
      </c>
      <c r="L71" t="s">
        <v>49</v>
      </c>
      <c r="M71" t="s">
        <v>50</v>
      </c>
      <c r="N71" t="s">
        <v>51</v>
      </c>
      <c r="O71">
        <v>3.45</v>
      </c>
      <c r="P71">
        <v>8.27</v>
      </c>
      <c r="Q71" t="s">
        <v>46</v>
      </c>
      <c r="R71" t="s">
        <v>52</v>
      </c>
      <c r="S71" t="s">
        <v>53</v>
      </c>
      <c r="T71" t="s">
        <v>46</v>
      </c>
      <c r="U71" t="s">
        <v>54</v>
      </c>
      <c r="V71" t="s">
        <v>55</v>
      </c>
      <c r="W71" t="s">
        <v>95</v>
      </c>
      <c r="X71" t="s">
        <v>119</v>
      </c>
      <c r="Y71">
        <v>1.33</v>
      </c>
      <c r="Z71" t="s">
        <v>46</v>
      </c>
      <c r="AA71" t="s">
        <v>58</v>
      </c>
      <c r="AB71" t="s">
        <v>59</v>
      </c>
      <c r="AC71">
        <v>283</v>
      </c>
      <c r="AD71" t="s">
        <v>46</v>
      </c>
      <c r="AE71" t="s">
        <v>60</v>
      </c>
      <c r="AF71" t="s">
        <v>45</v>
      </c>
      <c r="AG71" t="s">
        <v>46</v>
      </c>
      <c r="AH71" t="s">
        <v>61</v>
      </c>
      <c r="AI71" t="s">
        <v>48</v>
      </c>
      <c r="AJ71" t="s">
        <v>62</v>
      </c>
      <c r="AK71" t="s">
        <v>63</v>
      </c>
      <c r="AL71" t="s">
        <v>64</v>
      </c>
      <c r="AM71" t="s">
        <v>46</v>
      </c>
      <c r="AN71" t="s">
        <v>60</v>
      </c>
      <c r="AO71" t="s">
        <v>62</v>
      </c>
      <c r="AP71" t="s">
        <v>363</v>
      </c>
      <c r="AQ71" t="s">
        <v>66</v>
      </c>
      <c r="AR71" t="s">
        <v>67</v>
      </c>
    </row>
    <row r="72" spans="1:44">
      <c r="A72" s="1">
        <v>45427</v>
      </c>
      <c r="B72" s="2">
        <v>0.23596064814814816</v>
      </c>
      <c r="C72" t="s">
        <v>44</v>
      </c>
      <c r="D72" t="s">
        <v>45</v>
      </c>
      <c r="E72">
        <v>0.65700000000000003</v>
      </c>
      <c r="F72" t="s">
        <v>46</v>
      </c>
      <c r="G72" t="s">
        <v>47</v>
      </c>
      <c r="H72" t="s">
        <v>45</v>
      </c>
      <c r="I72">
        <v>0.30780000000000002</v>
      </c>
      <c r="J72" t="s">
        <v>46</v>
      </c>
      <c r="K72" t="s">
        <v>48</v>
      </c>
      <c r="L72" t="s">
        <v>49</v>
      </c>
      <c r="M72" t="s">
        <v>50</v>
      </c>
      <c r="N72" t="s">
        <v>51</v>
      </c>
      <c r="O72">
        <v>3.45</v>
      </c>
      <c r="P72">
        <v>8.27</v>
      </c>
      <c r="Q72" t="s">
        <v>46</v>
      </c>
      <c r="R72" t="s">
        <v>52</v>
      </c>
      <c r="S72" t="s">
        <v>53</v>
      </c>
      <c r="T72" t="s">
        <v>46</v>
      </c>
      <c r="U72" t="s">
        <v>54</v>
      </c>
      <c r="V72" t="s">
        <v>55</v>
      </c>
      <c r="W72" t="s">
        <v>95</v>
      </c>
      <c r="X72" t="s">
        <v>119</v>
      </c>
      <c r="Y72">
        <v>1.33</v>
      </c>
      <c r="Z72" t="s">
        <v>46</v>
      </c>
      <c r="AA72" t="s">
        <v>58</v>
      </c>
      <c r="AB72" t="s">
        <v>59</v>
      </c>
      <c r="AC72">
        <v>283</v>
      </c>
      <c r="AD72" t="s">
        <v>46</v>
      </c>
      <c r="AE72" t="s">
        <v>60</v>
      </c>
      <c r="AF72" t="s">
        <v>45</v>
      </c>
      <c r="AG72" t="s">
        <v>46</v>
      </c>
      <c r="AH72" t="s">
        <v>61</v>
      </c>
      <c r="AI72" t="s">
        <v>48</v>
      </c>
      <c r="AJ72" t="s">
        <v>62</v>
      </c>
      <c r="AK72" t="s">
        <v>63</v>
      </c>
      <c r="AL72" t="s">
        <v>64</v>
      </c>
      <c r="AM72" t="s">
        <v>46</v>
      </c>
      <c r="AN72" t="s">
        <v>60</v>
      </c>
      <c r="AO72" t="s">
        <v>62</v>
      </c>
      <c r="AP72" t="s">
        <v>364</v>
      </c>
      <c r="AQ72" t="s">
        <v>66</v>
      </c>
      <c r="AR72" t="s">
        <v>67</v>
      </c>
    </row>
    <row r="73" spans="1:44">
      <c r="A73" s="1">
        <v>45427</v>
      </c>
      <c r="B73" s="2">
        <v>0.23601851851851852</v>
      </c>
      <c r="C73" t="s">
        <v>44</v>
      </c>
      <c r="D73" t="s">
        <v>45</v>
      </c>
      <c r="E73">
        <v>0.5</v>
      </c>
      <c r="F73" t="s">
        <v>46</v>
      </c>
      <c r="G73" t="s">
        <v>47</v>
      </c>
      <c r="H73" t="s">
        <v>45</v>
      </c>
      <c r="I73">
        <v>0.30790000000000001</v>
      </c>
      <c r="J73" t="s">
        <v>46</v>
      </c>
      <c r="K73" t="s">
        <v>48</v>
      </c>
      <c r="L73" t="s">
        <v>49</v>
      </c>
      <c r="M73" t="s">
        <v>50</v>
      </c>
      <c r="N73" t="s">
        <v>51</v>
      </c>
      <c r="O73">
        <v>3.45</v>
      </c>
      <c r="P73">
        <v>8.27</v>
      </c>
      <c r="Q73" t="s">
        <v>46</v>
      </c>
      <c r="R73" t="s">
        <v>52</v>
      </c>
      <c r="S73" t="s">
        <v>53</v>
      </c>
      <c r="T73" t="s">
        <v>46</v>
      </c>
      <c r="U73" t="s">
        <v>54</v>
      </c>
      <c r="V73" t="s">
        <v>55</v>
      </c>
      <c r="W73" t="s">
        <v>95</v>
      </c>
      <c r="X73" t="s">
        <v>119</v>
      </c>
      <c r="Y73">
        <v>1.33</v>
      </c>
      <c r="Z73" t="s">
        <v>46</v>
      </c>
      <c r="AA73" t="s">
        <v>58</v>
      </c>
      <c r="AB73" t="s">
        <v>59</v>
      </c>
      <c r="AC73">
        <v>283</v>
      </c>
      <c r="AD73" t="s">
        <v>46</v>
      </c>
      <c r="AE73" t="s">
        <v>60</v>
      </c>
      <c r="AF73" t="s">
        <v>45</v>
      </c>
      <c r="AG73" t="s">
        <v>46</v>
      </c>
      <c r="AH73" t="s">
        <v>61</v>
      </c>
      <c r="AI73" t="s">
        <v>48</v>
      </c>
      <c r="AJ73" t="s">
        <v>62</v>
      </c>
      <c r="AK73" t="s">
        <v>63</v>
      </c>
      <c r="AL73" t="s">
        <v>64</v>
      </c>
      <c r="AM73" t="s">
        <v>46</v>
      </c>
      <c r="AN73" t="s">
        <v>60</v>
      </c>
      <c r="AO73" t="s">
        <v>62</v>
      </c>
      <c r="AP73" t="s">
        <v>365</v>
      </c>
      <c r="AQ73" t="s">
        <v>66</v>
      </c>
      <c r="AR73" t="s">
        <v>67</v>
      </c>
    </row>
    <row r="74" spans="1:44">
      <c r="A74" s="1">
        <v>45427</v>
      </c>
      <c r="B74" s="2">
        <v>0.23606481481481481</v>
      </c>
      <c r="C74" t="s">
        <v>44</v>
      </c>
      <c r="D74" t="s">
        <v>45</v>
      </c>
      <c r="E74">
        <v>0.56200000000000006</v>
      </c>
      <c r="F74" t="s">
        <v>46</v>
      </c>
      <c r="G74" t="s">
        <v>47</v>
      </c>
      <c r="H74" t="s">
        <v>45</v>
      </c>
      <c r="I74">
        <v>0.30790000000000001</v>
      </c>
      <c r="J74" t="s">
        <v>46</v>
      </c>
      <c r="K74" t="s">
        <v>48</v>
      </c>
      <c r="L74" t="s">
        <v>49</v>
      </c>
      <c r="M74" t="s">
        <v>50</v>
      </c>
      <c r="N74" t="s">
        <v>51</v>
      </c>
      <c r="O74">
        <v>3.45</v>
      </c>
      <c r="P74">
        <v>8.27</v>
      </c>
      <c r="Q74" t="s">
        <v>46</v>
      </c>
      <c r="R74" t="s">
        <v>52</v>
      </c>
      <c r="S74" t="s">
        <v>53</v>
      </c>
      <c r="T74" t="s">
        <v>46</v>
      </c>
      <c r="U74" t="s">
        <v>54</v>
      </c>
      <c r="V74" t="s">
        <v>55</v>
      </c>
      <c r="W74" t="s">
        <v>355</v>
      </c>
      <c r="X74" t="s">
        <v>119</v>
      </c>
      <c r="Y74">
        <v>1.33</v>
      </c>
      <c r="Z74" t="s">
        <v>46</v>
      </c>
      <c r="AA74" t="s">
        <v>58</v>
      </c>
      <c r="AB74" t="s">
        <v>59</v>
      </c>
      <c r="AC74">
        <v>283</v>
      </c>
      <c r="AD74" t="s">
        <v>46</v>
      </c>
      <c r="AE74" t="s">
        <v>60</v>
      </c>
      <c r="AF74" t="s">
        <v>45</v>
      </c>
      <c r="AG74" t="s">
        <v>46</v>
      </c>
      <c r="AH74" t="s">
        <v>61</v>
      </c>
      <c r="AI74" t="s">
        <v>48</v>
      </c>
      <c r="AJ74" t="s">
        <v>62</v>
      </c>
      <c r="AK74" t="s">
        <v>63</v>
      </c>
      <c r="AL74" t="s">
        <v>64</v>
      </c>
      <c r="AM74" t="s">
        <v>46</v>
      </c>
      <c r="AN74" t="s">
        <v>60</v>
      </c>
      <c r="AO74" t="s">
        <v>62</v>
      </c>
      <c r="AP74" t="s">
        <v>366</v>
      </c>
      <c r="AQ74" t="s">
        <v>66</v>
      </c>
      <c r="AR74" t="s">
        <v>67</v>
      </c>
    </row>
    <row r="75" spans="1:44">
      <c r="A75" s="1">
        <v>45427</v>
      </c>
      <c r="B75" s="2">
        <v>0.2361111111111111</v>
      </c>
      <c r="C75" t="s">
        <v>44</v>
      </c>
      <c r="D75" t="s">
        <v>45</v>
      </c>
      <c r="E75">
        <v>0.70599999999999996</v>
      </c>
      <c r="F75" t="s">
        <v>46</v>
      </c>
      <c r="G75" t="s">
        <v>47</v>
      </c>
      <c r="H75" t="s">
        <v>45</v>
      </c>
      <c r="I75">
        <v>0.30780000000000002</v>
      </c>
      <c r="J75" t="s">
        <v>46</v>
      </c>
      <c r="K75" t="s">
        <v>48</v>
      </c>
      <c r="L75" t="s">
        <v>49</v>
      </c>
      <c r="M75" t="s">
        <v>50</v>
      </c>
      <c r="N75" t="s">
        <v>51</v>
      </c>
      <c r="O75">
        <v>3.45</v>
      </c>
      <c r="P75">
        <v>8.27</v>
      </c>
      <c r="Q75" t="s">
        <v>46</v>
      </c>
      <c r="R75" t="s">
        <v>52</v>
      </c>
      <c r="S75" t="s">
        <v>53</v>
      </c>
      <c r="T75" t="s">
        <v>46</v>
      </c>
      <c r="U75" t="s">
        <v>54</v>
      </c>
      <c r="V75" t="s">
        <v>55</v>
      </c>
      <c r="W75" t="s">
        <v>238</v>
      </c>
      <c r="X75" t="s">
        <v>221</v>
      </c>
      <c r="Y75">
        <v>1.32</v>
      </c>
      <c r="Z75" t="s">
        <v>46</v>
      </c>
      <c r="AA75" t="s">
        <v>58</v>
      </c>
      <c r="AB75" t="s">
        <v>59</v>
      </c>
      <c r="AC75">
        <v>283</v>
      </c>
      <c r="AD75" t="s">
        <v>46</v>
      </c>
      <c r="AE75" t="s">
        <v>60</v>
      </c>
      <c r="AF75" t="s">
        <v>45</v>
      </c>
      <c r="AG75" t="s">
        <v>46</v>
      </c>
      <c r="AH75" t="s">
        <v>61</v>
      </c>
      <c r="AI75" t="s">
        <v>48</v>
      </c>
      <c r="AJ75" t="s">
        <v>62</v>
      </c>
      <c r="AK75" t="s">
        <v>63</v>
      </c>
      <c r="AL75" t="s">
        <v>64</v>
      </c>
      <c r="AM75" t="s">
        <v>46</v>
      </c>
      <c r="AN75" t="s">
        <v>60</v>
      </c>
      <c r="AO75" t="s">
        <v>62</v>
      </c>
      <c r="AP75" t="s">
        <v>367</v>
      </c>
      <c r="AQ75" t="s">
        <v>66</v>
      </c>
      <c r="AR75" t="s">
        <v>67</v>
      </c>
    </row>
    <row r="76" spans="1:44">
      <c r="A76" s="1">
        <v>45427</v>
      </c>
      <c r="B76" s="2">
        <v>0.2361574074074074</v>
      </c>
      <c r="C76" t="s">
        <v>44</v>
      </c>
      <c r="D76" t="s">
        <v>45</v>
      </c>
      <c r="E76">
        <v>0.46899999999999997</v>
      </c>
      <c r="F76" t="s">
        <v>46</v>
      </c>
      <c r="G76" t="s">
        <v>47</v>
      </c>
      <c r="H76" t="s">
        <v>45</v>
      </c>
      <c r="I76">
        <v>0.30819999999999997</v>
      </c>
      <c r="J76" t="s">
        <v>46</v>
      </c>
      <c r="K76" t="s">
        <v>48</v>
      </c>
      <c r="L76" t="s">
        <v>49</v>
      </c>
      <c r="M76" t="s">
        <v>50</v>
      </c>
      <c r="N76" t="s">
        <v>51</v>
      </c>
      <c r="O76">
        <v>3.45</v>
      </c>
      <c r="P76">
        <v>8.27</v>
      </c>
      <c r="Q76" t="s">
        <v>46</v>
      </c>
      <c r="R76" t="s">
        <v>52</v>
      </c>
      <c r="S76" t="s">
        <v>53</v>
      </c>
      <c r="T76" t="s">
        <v>46</v>
      </c>
      <c r="U76" t="s">
        <v>54</v>
      </c>
      <c r="V76" t="s">
        <v>55</v>
      </c>
      <c r="W76" t="s">
        <v>335</v>
      </c>
      <c r="X76" t="s">
        <v>310</v>
      </c>
      <c r="Y76">
        <v>1.32</v>
      </c>
      <c r="Z76" t="s">
        <v>46</v>
      </c>
      <c r="AA76" t="s">
        <v>58</v>
      </c>
      <c r="AB76" t="s">
        <v>59</v>
      </c>
      <c r="AC76">
        <v>282</v>
      </c>
      <c r="AD76" t="s">
        <v>46</v>
      </c>
      <c r="AE76" t="s">
        <v>60</v>
      </c>
      <c r="AF76" t="s">
        <v>45</v>
      </c>
      <c r="AG76" t="s">
        <v>46</v>
      </c>
      <c r="AH76" t="s">
        <v>61</v>
      </c>
      <c r="AI76" t="s">
        <v>48</v>
      </c>
      <c r="AJ76" t="s">
        <v>62</v>
      </c>
      <c r="AK76" t="s">
        <v>63</v>
      </c>
      <c r="AL76" t="s">
        <v>64</v>
      </c>
      <c r="AM76" t="s">
        <v>46</v>
      </c>
      <c r="AN76" t="s">
        <v>60</v>
      </c>
      <c r="AO76" t="s">
        <v>62</v>
      </c>
      <c r="AP76" t="s">
        <v>368</v>
      </c>
      <c r="AQ76" t="s">
        <v>66</v>
      </c>
      <c r="AR76" t="s">
        <v>67</v>
      </c>
    </row>
    <row r="77" spans="1:44">
      <c r="A77" s="1">
        <v>45427</v>
      </c>
      <c r="B77" s="2">
        <v>0.23621527777777779</v>
      </c>
      <c r="C77" t="s">
        <v>44</v>
      </c>
      <c r="D77" t="s">
        <v>45</v>
      </c>
      <c r="E77">
        <v>0.51500000000000001</v>
      </c>
      <c r="F77" t="s">
        <v>46</v>
      </c>
      <c r="G77" t="s">
        <v>47</v>
      </c>
      <c r="H77" t="s">
        <v>45</v>
      </c>
      <c r="I77">
        <v>0.30819999999999997</v>
      </c>
      <c r="J77" t="s">
        <v>46</v>
      </c>
      <c r="K77" t="s">
        <v>48</v>
      </c>
      <c r="L77" t="s">
        <v>49</v>
      </c>
      <c r="M77" t="s">
        <v>50</v>
      </c>
      <c r="N77" t="s">
        <v>51</v>
      </c>
      <c r="O77">
        <v>3.45</v>
      </c>
      <c r="P77">
        <v>8.27</v>
      </c>
      <c r="Q77" t="s">
        <v>46</v>
      </c>
      <c r="R77" t="s">
        <v>52</v>
      </c>
      <c r="S77" t="s">
        <v>53</v>
      </c>
      <c r="T77" t="s">
        <v>46</v>
      </c>
      <c r="U77" t="s">
        <v>54</v>
      </c>
      <c r="V77" t="s">
        <v>55</v>
      </c>
      <c r="W77" t="s">
        <v>335</v>
      </c>
      <c r="X77" t="s">
        <v>310</v>
      </c>
      <c r="Y77">
        <v>1.32</v>
      </c>
      <c r="Z77" t="s">
        <v>46</v>
      </c>
      <c r="AA77" t="s">
        <v>58</v>
      </c>
      <c r="AB77" t="s">
        <v>59</v>
      </c>
      <c r="AC77">
        <v>282</v>
      </c>
      <c r="AD77" t="s">
        <v>46</v>
      </c>
      <c r="AE77" t="s">
        <v>60</v>
      </c>
      <c r="AF77" t="s">
        <v>45</v>
      </c>
      <c r="AG77" t="s">
        <v>46</v>
      </c>
      <c r="AH77" t="s">
        <v>61</v>
      </c>
      <c r="AI77" t="s">
        <v>48</v>
      </c>
      <c r="AJ77" t="s">
        <v>62</v>
      </c>
      <c r="AK77" t="s">
        <v>63</v>
      </c>
      <c r="AL77" t="s">
        <v>64</v>
      </c>
      <c r="AM77" t="s">
        <v>46</v>
      </c>
      <c r="AN77" t="s">
        <v>60</v>
      </c>
      <c r="AO77" t="s">
        <v>62</v>
      </c>
      <c r="AP77" t="s">
        <v>369</v>
      </c>
      <c r="AQ77" t="s">
        <v>66</v>
      </c>
      <c r="AR77" t="s">
        <v>67</v>
      </c>
    </row>
    <row r="78" spans="1:44">
      <c r="A78" s="1">
        <v>45427</v>
      </c>
      <c r="B78" s="2">
        <v>0.23626157407407408</v>
      </c>
      <c r="C78" t="s">
        <v>44</v>
      </c>
      <c r="D78" t="s">
        <v>45</v>
      </c>
      <c r="E78">
        <v>0.63300000000000001</v>
      </c>
      <c r="F78" t="s">
        <v>46</v>
      </c>
      <c r="G78" t="s">
        <v>47</v>
      </c>
      <c r="H78" t="s">
        <v>45</v>
      </c>
      <c r="I78">
        <v>0.30819999999999997</v>
      </c>
      <c r="J78" t="s">
        <v>46</v>
      </c>
      <c r="K78" t="s">
        <v>48</v>
      </c>
      <c r="L78" t="s">
        <v>49</v>
      </c>
      <c r="M78" t="s">
        <v>50</v>
      </c>
      <c r="N78" t="s">
        <v>51</v>
      </c>
      <c r="O78">
        <v>3.45</v>
      </c>
      <c r="P78">
        <v>8.27</v>
      </c>
      <c r="Q78" t="s">
        <v>46</v>
      </c>
      <c r="R78" t="s">
        <v>52</v>
      </c>
      <c r="S78" t="s">
        <v>53</v>
      </c>
      <c r="T78" t="s">
        <v>46</v>
      </c>
      <c r="U78" t="s">
        <v>54</v>
      </c>
      <c r="V78" t="s">
        <v>55</v>
      </c>
      <c r="W78" t="s">
        <v>119</v>
      </c>
      <c r="X78" t="s">
        <v>310</v>
      </c>
      <c r="Y78">
        <v>1.32</v>
      </c>
      <c r="Z78" t="s">
        <v>46</v>
      </c>
      <c r="AA78" t="s">
        <v>58</v>
      </c>
      <c r="AB78" t="s">
        <v>59</v>
      </c>
      <c r="AC78">
        <v>282</v>
      </c>
      <c r="AD78" t="s">
        <v>46</v>
      </c>
      <c r="AE78" t="s">
        <v>60</v>
      </c>
      <c r="AF78" t="s">
        <v>45</v>
      </c>
      <c r="AG78" t="s">
        <v>46</v>
      </c>
      <c r="AH78" t="s">
        <v>61</v>
      </c>
      <c r="AI78" t="s">
        <v>48</v>
      </c>
      <c r="AJ78" t="s">
        <v>62</v>
      </c>
      <c r="AK78" t="s">
        <v>63</v>
      </c>
      <c r="AL78" t="s">
        <v>64</v>
      </c>
      <c r="AM78" t="s">
        <v>46</v>
      </c>
      <c r="AN78" t="s">
        <v>60</v>
      </c>
      <c r="AO78" t="s">
        <v>62</v>
      </c>
      <c r="AP78" t="s">
        <v>370</v>
      </c>
      <c r="AQ78" t="s">
        <v>66</v>
      </c>
      <c r="AR78" t="s">
        <v>67</v>
      </c>
    </row>
    <row r="79" spans="1:44">
      <c r="A79" s="1">
        <v>45427</v>
      </c>
      <c r="B79" s="2">
        <v>0.23630787037037038</v>
      </c>
      <c r="C79" t="s">
        <v>44</v>
      </c>
      <c r="D79" t="s">
        <v>45</v>
      </c>
      <c r="E79">
        <v>0.5</v>
      </c>
      <c r="F79" t="s">
        <v>46</v>
      </c>
      <c r="G79" t="s">
        <v>47</v>
      </c>
      <c r="H79" t="s">
        <v>45</v>
      </c>
      <c r="I79">
        <v>0.30790000000000001</v>
      </c>
      <c r="J79" t="s">
        <v>46</v>
      </c>
      <c r="K79" t="s">
        <v>48</v>
      </c>
      <c r="L79" t="s">
        <v>49</v>
      </c>
      <c r="M79" t="s">
        <v>50</v>
      </c>
      <c r="N79" t="s">
        <v>51</v>
      </c>
      <c r="O79">
        <v>3.45</v>
      </c>
      <c r="P79">
        <v>8.27</v>
      </c>
      <c r="Q79" t="s">
        <v>46</v>
      </c>
      <c r="R79" t="s">
        <v>52</v>
      </c>
      <c r="S79" t="s">
        <v>53</v>
      </c>
      <c r="T79" t="s">
        <v>46</v>
      </c>
      <c r="U79" t="s">
        <v>54</v>
      </c>
      <c r="V79" t="s">
        <v>55</v>
      </c>
      <c r="W79" t="s">
        <v>119</v>
      </c>
      <c r="X79" t="s">
        <v>310</v>
      </c>
      <c r="Y79">
        <v>1.32</v>
      </c>
      <c r="Z79" t="s">
        <v>46</v>
      </c>
      <c r="AA79" t="s">
        <v>58</v>
      </c>
      <c r="AB79" t="s">
        <v>59</v>
      </c>
      <c r="AC79">
        <v>282</v>
      </c>
      <c r="AD79" t="s">
        <v>46</v>
      </c>
      <c r="AE79" t="s">
        <v>60</v>
      </c>
      <c r="AF79" t="s">
        <v>45</v>
      </c>
      <c r="AG79" t="s">
        <v>46</v>
      </c>
      <c r="AH79" t="s">
        <v>61</v>
      </c>
      <c r="AI79" t="s">
        <v>48</v>
      </c>
      <c r="AJ79" t="s">
        <v>62</v>
      </c>
      <c r="AK79" t="s">
        <v>63</v>
      </c>
      <c r="AL79" t="s">
        <v>64</v>
      </c>
      <c r="AM79" t="s">
        <v>46</v>
      </c>
      <c r="AN79" t="s">
        <v>60</v>
      </c>
      <c r="AO79" t="s">
        <v>62</v>
      </c>
      <c r="AP79" t="s">
        <v>371</v>
      </c>
      <c r="AQ79" t="s">
        <v>66</v>
      </c>
      <c r="AR79" t="s">
        <v>67</v>
      </c>
    </row>
    <row r="80" spans="1:44">
      <c r="A80" s="1">
        <v>45427</v>
      </c>
      <c r="B80" s="2">
        <v>0.23635416666666667</v>
      </c>
      <c r="C80" t="s">
        <v>44</v>
      </c>
      <c r="D80" t="s">
        <v>45</v>
      </c>
      <c r="E80">
        <v>0.45200000000000001</v>
      </c>
      <c r="F80" t="s">
        <v>46</v>
      </c>
      <c r="G80" t="s">
        <v>47</v>
      </c>
      <c r="H80" t="s">
        <v>45</v>
      </c>
      <c r="I80">
        <v>0.308</v>
      </c>
      <c r="J80" t="s">
        <v>46</v>
      </c>
      <c r="K80" t="s">
        <v>48</v>
      </c>
      <c r="L80" t="s">
        <v>49</v>
      </c>
      <c r="M80" t="s">
        <v>50</v>
      </c>
      <c r="N80" t="s">
        <v>51</v>
      </c>
      <c r="O80">
        <v>3.45</v>
      </c>
      <c r="P80">
        <v>8.27</v>
      </c>
      <c r="Q80" t="s">
        <v>46</v>
      </c>
      <c r="R80" t="s">
        <v>52</v>
      </c>
      <c r="S80" t="s">
        <v>53</v>
      </c>
      <c r="T80" t="s">
        <v>46</v>
      </c>
      <c r="U80" t="s">
        <v>54</v>
      </c>
      <c r="V80" t="s">
        <v>55</v>
      </c>
      <c r="W80" t="s">
        <v>119</v>
      </c>
      <c r="X80" t="s">
        <v>310</v>
      </c>
      <c r="Y80">
        <v>1.32</v>
      </c>
      <c r="Z80" t="s">
        <v>46</v>
      </c>
      <c r="AA80" t="s">
        <v>58</v>
      </c>
      <c r="AB80" t="s">
        <v>59</v>
      </c>
      <c r="AC80">
        <v>282</v>
      </c>
      <c r="AD80" t="s">
        <v>46</v>
      </c>
      <c r="AE80" t="s">
        <v>60</v>
      </c>
      <c r="AF80" t="s">
        <v>45</v>
      </c>
      <c r="AG80" t="s">
        <v>46</v>
      </c>
      <c r="AH80" t="s">
        <v>61</v>
      </c>
      <c r="AI80" t="s">
        <v>48</v>
      </c>
      <c r="AJ80" t="s">
        <v>62</v>
      </c>
      <c r="AK80" t="s">
        <v>63</v>
      </c>
      <c r="AL80" t="s">
        <v>64</v>
      </c>
      <c r="AM80" t="s">
        <v>46</v>
      </c>
      <c r="AN80" t="s">
        <v>60</v>
      </c>
      <c r="AO80" t="s">
        <v>62</v>
      </c>
      <c r="AP80" t="s">
        <v>372</v>
      </c>
      <c r="AQ80" t="s">
        <v>66</v>
      </c>
      <c r="AR80" t="s">
        <v>67</v>
      </c>
    </row>
    <row r="81" spans="1:44">
      <c r="A81" s="1">
        <v>45427</v>
      </c>
      <c r="B81" s="2">
        <v>0.23641203703703703</v>
      </c>
      <c r="C81" t="s">
        <v>44</v>
      </c>
      <c r="D81" t="s">
        <v>45</v>
      </c>
      <c r="E81">
        <v>0.71899999999999997</v>
      </c>
      <c r="F81" t="s">
        <v>46</v>
      </c>
      <c r="G81" t="s">
        <v>47</v>
      </c>
      <c r="H81" t="s">
        <v>45</v>
      </c>
      <c r="I81">
        <v>0.30790000000000001</v>
      </c>
      <c r="J81" t="s">
        <v>46</v>
      </c>
      <c r="K81" t="s">
        <v>48</v>
      </c>
      <c r="L81" t="s">
        <v>49</v>
      </c>
      <c r="M81" t="s">
        <v>50</v>
      </c>
      <c r="N81" t="s">
        <v>51</v>
      </c>
      <c r="O81">
        <v>3.45</v>
      </c>
      <c r="P81">
        <v>8.27</v>
      </c>
      <c r="Q81" t="s">
        <v>46</v>
      </c>
      <c r="R81" t="s">
        <v>52</v>
      </c>
      <c r="S81" t="s">
        <v>53</v>
      </c>
      <c r="T81" t="s">
        <v>46</v>
      </c>
      <c r="U81" t="s">
        <v>54</v>
      </c>
      <c r="V81" t="s">
        <v>55</v>
      </c>
      <c r="W81" t="s">
        <v>241</v>
      </c>
      <c r="X81" t="s">
        <v>109</v>
      </c>
      <c r="Y81">
        <v>1.31</v>
      </c>
      <c r="Z81" t="s">
        <v>46</v>
      </c>
      <c r="AA81" t="s">
        <v>58</v>
      </c>
      <c r="AB81" t="s">
        <v>59</v>
      </c>
      <c r="AC81">
        <v>282</v>
      </c>
      <c r="AD81" t="s">
        <v>46</v>
      </c>
      <c r="AE81" t="s">
        <v>60</v>
      </c>
      <c r="AF81" t="s">
        <v>45</v>
      </c>
      <c r="AG81" t="s">
        <v>46</v>
      </c>
      <c r="AH81" t="s">
        <v>61</v>
      </c>
      <c r="AI81" t="s">
        <v>48</v>
      </c>
      <c r="AJ81" t="s">
        <v>62</v>
      </c>
      <c r="AK81" t="s">
        <v>63</v>
      </c>
      <c r="AL81" t="s">
        <v>64</v>
      </c>
      <c r="AM81" t="s">
        <v>46</v>
      </c>
      <c r="AN81" t="s">
        <v>60</v>
      </c>
      <c r="AO81" t="s">
        <v>62</v>
      </c>
      <c r="AP81" t="s">
        <v>373</v>
      </c>
      <c r="AQ81" t="s">
        <v>66</v>
      </c>
      <c r="AR81" t="s">
        <v>67</v>
      </c>
    </row>
    <row r="82" spans="1:44">
      <c r="A82" s="1">
        <v>45427</v>
      </c>
      <c r="B82" s="2">
        <v>0.23645833333333333</v>
      </c>
      <c r="C82" t="s">
        <v>44</v>
      </c>
      <c r="D82" t="s">
        <v>45</v>
      </c>
      <c r="E82">
        <v>0.622</v>
      </c>
      <c r="F82" t="s">
        <v>46</v>
      </c>
      <c r="G82" t="s">
        <v>47</v>
      </c>
      <c r="H82" t="s">
        <v>45</v>
      </c>
      <c r="I82">
        <v>0.30809999999999998</v>
      </c>
      <c r="J82" t="s">
        <v>46</v>
      </c>
      <c r="K82" t="s">
        <v>48</v>
      </c>
      <c r="L82" t="s">
        <v>49</v>
      </c>
      <c r="M82" t="s">
        <v>50</v>
      </c>
      <c r="N82" t="s">
        <v>51</v>
      </c>
      <c r="O82">
        <v>3.45</v>
      </c>
      <c r="P82">
        <v>8.27</v>
      </c>
      <c r="Q82" t="s">
        <v>46</v>
      </c>
      <c r="R82" t="s">
        <v>52</v>
      </c>
      <c r="S82" t="s">
        <v>53</v>
      </c>
      <c r="T82" t="s">
        <v>46</v>
      </c>
      <c r="U82" t="s">
        <v>54</v>
      </c>
      <c r="V82" t="s">
        <v>55</v>
      </c>
      <c r="W82" t="s">
        <v>310</v>
      </c>
      <c r="X82" t="s">
        <v>310</v>
      </c>
      <c r="Y82">
        <v>1.31</v>
      </c>
      <c r="Z82" t="s">
        <v>46</v>
      </c>
      <c r="AA82" t="s">
        <v>58</v>
      </c>
      <c r="AB82" t="s">
        <v>59</v>
      </c>
      <c r="AC82">
        <v>282</v>
      </c>
      <c r="AD82" t="s">
        <v>46</v>
      </c>
      <c r="AE82" t="s">
        <v>60</v>
      </c>
      <c r="AF82" t="s">
        <v>45</v>
      </c>
      <c r="AG82" t="s">
        <v>46</v>
      </c>
      <c r="AH82" t="s">
        <v>61</v>
      </c>
      <c r="AI82" t="s">
        <v>48</v>
      </c>
      <c r="AJ82" t="s">
        <v>62</v>
      </c>
      <c r="AK82" t="s">
        <v>63</v>
      </c>
      <c r="AL82" t="s">
        <v>64</v>
      </c>
      <c r="AM82" t="s">
        <v>46</v>
      </c>
      <c r="AN82" t="s">
        <v>60</v>
      </c>
      <c r="AO82" t="s">
        <v>62</v>
      </c>
      <c r="AP82" t="s">
        <v>374</v>
      </c>
      <c r="AQ82" t="s">
        <v>66</v>
      </c>
      <c r="AR82" t="s">
        <v>67</v>
      </c>
    </row>
    <row r="83" spans="1:44">
      <c r="A83" s="1">
        <v>45427</v>
      </c>
      <c r="B83" s="2">
        <v>0.23650462962962962</v>
      </c>
      <c r="C83" t="s">
        <v>44</v>
      </c>
      <c r="D83" t="s">
        <v>45</v>
      </c>
      <c r="E83">
        <v>0.54300000000000004</v>
      </c>
      <c r="F83" t="s">
        <v>46</v>
      </c>
      <c r="G83" t="s">
        <v>47</v>
      </c>
      <c r="H83" t="s">
        <v>45</v>
      </c>
      <c r="I83">
        <v>0.308</v>
      </c>
      <c r="J83" t="s">
        <v>46</v>
      </c>
      <c r="K83" t="s">
        <v>48</v>
      </c>
      <c r="L83" t="s">
        <v>49</v>
      </c>
      <c r="M83" t="s">
        <v>50</v>
      </c>
      <c r="N83" t="s">
        <v>51</v>
      </c>
      <c r="O83">
        <v>3.45</v>
      </c>
      <c r="P83">
        <v>8.27</v>
      </c>
      <c r="Q83" t="s">
        <v>46</v>
      </c>
      <c r="R83" t="s">
        <v>52</v>
      </c>
      <c r="S83" t="s">
        <v>53</v>
      </c>
      <c r="T83" t="s">
        <v>46</v>
      </c>
      <c r="U83" t="s">
        <v>54</v>
      </c>
      <c r="V83" t="s">
        <v>55</v>
      </c>
      <c r="W83" t="s">
        <v>310</v>
      </c>
      <c r="X83" t="s">
        <v>310</v>
      </c>
      <c r="Y83">
        <v>1.31</v>
      </c>
      <c r="Z83" t="s">
        <v>46</v>
      </c>
      <c r="AA83" t="s">
        <v>58</v>
      </c>
      <c r="AB83" t="s">
        <v>59</v>
      </c>
      <c r="AC83">
        <v>282</v>
      </c>
      <c r="AD83" t="s">
        <v>46</v>
      </c>
      <c r="AE83" t="s">
        <v>60</v>
      </c>
      <c r="AF83" t="s">
        <v>45</v>
      </c>
      <c r="AG83" t="s">
        <v>46</v>
      </c>
      <c r="AH83" t="s">
        <v>61</v>
      </c>
      <c r="AI83" t="s">
        <v>48</v>
      </c>
      <c r="AJ83" t="s">
        <v>62</v>
      </c>
      <c r="AK83" t="s">
        <v>63</v>
      </c>
      <c r="AL83" t="s">
        <v>64</v>
      </c>
      <c r="AM83" t="s">
        <v>46</v>
      </c>
      <c r="AN83" t="s">
        <v>60</v>
      </c>
      <c r="AO83" t="s">
        <v>62</v>
      </c>
      <c r="AP83" t="s">
        <v>375</v>
      </c>
      <c r="AQ83" t="s">
        <v>66</v>
      </c>
      <c r="AR83" t="s">
        <v>67</v>
      </c>
    </row>
    <row r="84" spans="1:44">
      <c r="A84" s="1">
        <v>45427</v>
      </c>
      <c r="B84" s="2">
        <v>0.23655092592592591</v>
      </c>
      <c r="C84" t="s">
        <v>44</v>
      </c>
      <c r="D84" t="s">
        <v>45</v>
      </c>
      <c r="E84">
        <v>0.71399999999999997</v>
      </c>
      <c r="F84" t="s">
        <v>46</v>
      </c>
      <c r="G84" t="s">
        <v>47</v>
      </c>
      <c r="H84" t="s">
        <v>45</v>
      </c>
      <c r="I84">
        <v>0.308</v>
      </c>
      <c r="J84" t="s">
        <v>46</v>
      </c>
      <c r="K84" t="s">
        <v>48</v>
      </c>
      <c r="L84" t="s">
        <v>49</v>
      </c>
      <c r="M84" t="s">
        <v>50</v>
      </c>
      <c r="N84" t="s">
        <v>51</v>
      </c>
      <c r="O84">
        <v>3.45</v>
      </c>
      <c r="P84">
        <v>8.26</v>
      </c>
      <c r="Q84" t="s">
        <v>46</v>
      </c>
      <c r="R84" t="s">
        <v>52</v>
      </c>
      <c r="S84" t="s">
        <v>53</v>
      </c>
      <c r="T84" t="s">
        <v>46</v>
      </c>
      <c r="U84" t="s">
        <v>54</v>
      </c>
      <c r="V84" t="s">
        <v>55</v>
      </c>
      <c r="W84" t="s">
        <v>314</v>
      </c>
      <c r="X84" t="s">
        <v>109</v>
      </c>
      <c r="Y84">
        <v>1.3</v>
      </c>
      <c r="Z84" t="s">
        <v>46</v>
      </c>
      <c r="AA84" t="s">
        <v>58</v>
      </c>
      <c r="AB84" t="s">
        <v>59</v>
      </c>
      <c r="AC84">
        <v>282</v>
      </c>
      <c r="AD84" t="s">
        <v>46</v>
      </c>
      <c r="AE84" t="s">
        <v>60</v>
      </c>
      <c r="AF84" t="s">
        <v>45</v>
      </c>
      <c r="AG84" t="s">
        <v>46</v>
      </c>
      <c r="AH84" t="s">
        <v>61</v>
      </c>
      <c r="AI84" t="s">
        <v>48</v>
      </c>
      <c r="AJ84" t="s">
        <v>62</v>
      </c>
      <c r="AK84" t="s">
        <v>63</v>
      </c>
      <c r="AL84" t="s">
        <v>376</v>
      </c>
      <c r="AM84" t="s">
        <v>46</v>
      </c>
      <c r="AN84" t="s">
        <v>60</v>
      </c>
      <c r="AO84" t="s">
        <v>62</v>
      </c>
      <c r="AP84" t="s">
        <v>377</v>
      </c>
      <c r="AQ84" t="s">
        <v>66</v>
      </c>
      <c r="AR84" t="s">
        <v>67</v>
      </c>
    </row>
    <row r="85" spans="1:44">
      <c r="A85" s="1">
        <v>45427</v>
      </c>
      <c r="B85" s="2">
        <v>0.23659722222222221</v>
      </c>
      <c r="C85" t="s">
        <v>44</v>
      </c>
      <c r="D85" t="s">
        <v>45</v>
      </c>
      <c r="E85">
        <v>0.47099999999999997</v>
      </c>
      <c r="F85" t="s">
        <v>46</v>
      </c>
      <c r="G85" t="s">
        <v>47</v>
      </c>
      <c r="H85" t="s">
        <v>45</v>
      </c>
      <c r="I85">
        <v>0.30819999999999997</v>
      </c>
      <c r="J85" t="s">
        <v>46</v>
      </c>
      <c r="K85" t="s">
        <v>48</v>
      </c>
      <c r="L85" t="s">
        <v>49</v>
      </c>
      <c r="M85" t="s">
        <v>50</v>
      </c>
      <c r="N85" t="s">
        <v>51</v>
      </c>
      <c r="O85">
        <v>3.45</v>
      </c>
      <c r="P85">
        <v>8.26</v>
      </c>
      <c r="Q85" t="s">
        <v>46</v>
      </c>
      <c r="R85" t="s">
        <v>52</v>
      </c>
      <c r="S85" t="s">
        <v>53</v>
      </c>
      <c r="T85" t="s">
        <v>46</v>
      </c>
      <c r="U85" t="s">
        <v>54</v>
      </c>
      <c r="V85" t="s">
        <v>55</v>
      </c>
      <c r="W85" t="s">
        <v>241</v>
      </c>
      <c r="X85" t="s">
        <v>109</v>
      </c>
      <c r="Y85">
        <v>1.3</v>
      </c>
      <c r="Z85" t="s">
        <v>46</v>
      </c>
      <c r="AA85" t="s">
        <v>58</v>
      </c>
      <c r="AB85" t="s">
        <v>59</v>
      </c>
      <c r="AC85">
        <v>282</v>
      </c>
      <c r="AD85" t="s">
        <v>46</v>
      </c>
      <c r="AE85" t="s">
        <v>60</v>
      </c>
      <c r="AF85" t="s">
        <v>45</v>
      </c>
      <c r="AG85" t="s">
        <v>46</v>
      </c>
      <c r="AH85" t="s">
        <v>61</v>
      </c>
      <c r="AI85" t="s">
        <v>48</v>
      </c>
      <c r="AJ85" t="s">
        <v>62</v>
      </c>
      <c r="AK85" t="s">
        <v>63</v>
      </c>
      <c r="AL85" t="s">
        <v>376</v>
      </c>
      <c r="AM85" t="s">
        <v>46</v>
      </c>
      <c r="AN85" t="s">
        <v>60</v>
      </c>
      <c r="AO85" t="s">
        <v>62</v>
      </c>
      <c r="AP85" t="s">
        <v>378</v>
      </c>
      <c r="AQ85" t="s">
        <v>66</v>
      </c>
      <c r="AR85" t="s">
        <v>67</v>
      </c>
    </row>
    <row r="86" spans="1:44">
      <c r="A86" s="1">
        <v>45427</v>
      </c>
      <c r="B86" s="2">
        <v>0.2366550925925926</v>
      </c>
      <c r="C86" t="s">
        <v>44</v>
      </c>
      <c r="D86" t="s">
        <v>45</v>
      </c>
      <c r="E86">
        <v>0.64700000000000002</v>
      </c>
      <c r="F86" t="s">
        <v>46</v>
      </c>
      <c r="G86" t="s">
        <v>47</v>
      </c>
      <c r="H86" t="s">
        <v>45</v>
      </c>
      <c r="I86">
        <v>0.30830000000000002</v>
      </c>
      <c r="J86" t="s">
        <v>46</v>
      </c>
      <c r="K86" t="s">
        <v>48</v>
      </c>
      <c r="L86" t="s">
        <v>49</v>
      </c>
      <c r="M86" t="s">
        <v>50</v>
      </c>
      <c r="N86" t="s">
        <v>51</v>
      </c>
      <c r="O86">
        <v>3.45</v>
      </c>
      <c r="P86">
        <v>8.26</v>
      </c>
      <c r="Q86" t="s">
        <v>46</v>
      </c>
      <c r="R86" t="s">
        <v>52</v>
      </c>
      <c r="S86" t="s">
        <v>53</v>
      </c>
      <c r="T86" t="s">
        <v>46</v>
      </c>
      <c r="U86" t="s">
        <v>54</v>
      </c>
      <c r="V86" t="s">
        <v>55</v>
      </c>
      <c r="W86" t="s">
        <v>241</v>
      </c>
      <c r="X86" t="s">
        <v>109</v>
      </c>
      <c r="Y86">
        <v>1.3</v>
      </c>
      <c r="Z86" t="s">
        <v>46</v>
      </c>
      <c r="AA86" t="s">
        <v>58</v>
      </c>
      <c r="AB86" t="s">
        <v>59</v>
      </c>
      <c r="AC86">
        <v>283</v>
      </c>
      <c r="AD86" t="s">
        <v>46</v>
      </c>
      <c r="AE86" t="s">
        <v>60</v>
      </c>
      <c r="AF86" t="s">
        <v>45</v>
      </c>
      <c r="AG86" t="s">
        <v>46</v>
      </c>
      <c r="AH86" t="s">
        <v>61</v>
      </c>
      <c r="AI86" t="s">
        <v>48</v>
      </c>
      <c r="AJ86" t="s">
        <v>62</v>
      </c>
      <c r="AK86" t="s">
        <v>63</v>
      </c>
      <c r="AL86" t="s">
        <v>376</v>
      </c>
      <c r="AM86" t="s">
        <v>46</v>
      </c>
      <c r="AN86" t="s">
        <v>60</v>
      </c>
      <c r="AO86" t="s">
        <v>62</v>
      </c>
      <c r="AP86" t="s">
        <v>379</v>
      </c>
      <c r="AQ86" t="s">
        <v>66</v>
      </c>
      <c r="AR86" t="s">
        <v>67</v>
      </c>
    </row>
    <row r="87" spans="1:44">
      <c r="A87" s="1">
        <v>45427</v>
      </c>
      <c r="B87" s="2">
        <v>0.23670138888888889</v>
      </c>
      <c r="C87" t="s">
        <v>44</v>
      </c>
      <c r="D87" t="s">
        <v>45</v>
      </c>
      <c r="E87">
        <v>0.68799999999999994</v>
      </c>
      <c r="F87" t="s">
        <v>46</v>
      </c>
      <c r="G87" t="s">
        <v>47</v>
      </c>
      <c r="H87" t="s">
        <v>45</v>
      </c>
      <c r="I87">
        <v>0.30809999999999998</v>
      </c>
      <c r="J87" t="s">
        <v>46</v>
      </c>
      <c r="K87" t="s">
        <v>48</v>
      </c>
      <c r="L87" t="s">
        <v>49</v>
      </c>
      <c r="M87" t="s">
        <v>50</v>
      </c>
      <c r="N87" t="s">
        <v>51</v>
      </c>
      <c r="O87">
        <v>3.45</v>
      </c>
      <c r="P87">
        <v>8.26</v>
      </c>
      <c r="Q87" t="s">
        <v>46</v>
      </c>
      <c r="R87" t="s">
        <v>52</v>
      </c>
      <c r="S87" t="s">
        <v>53</v>
      </c>
      <c r="T87" t="s">
        <v>46</v>
      </c>
      <c r="U87" t="s">
        <v>54</v>
      </c>
      <c r="V87" t="s">
        <v>55</v>
      </c>
      <c r="W87" t="s">
        <v>380</v>
      </c>
      <c r="X87" t="s">
        <v>355</v>
      </c>
      <c r="Y87">
        <v>1.32</v>
      </c>
      <c r="Z87" t="s">
        <v>46</v>
      </c>
      <c r="AA87" t="s">
        <v>58</v>
      </c>
      <c r="AB87" t="s">
        <v>59</v>
      </c>
      <c r="AC87">
        <v>282</v>
      </c>
      <c r="AD87" t="s">
        <v>46</v>
      </c>
      <c r="AE87" t="s">
        <v>60</v>
      </c>
      <c r="AF87" t="s">
        <v>45</v>
      </c>
      <c r="AG87" t="s">
        <v>46</v>
      </c>
      <c r="AH87" t="s">
        <v>61</v>
      </c>
      <c r="AI87" t="s">
        <v>48</v>
      </c>
      <c r="AJ87" t="s">
        <v>62</v>
      </c>
      <c r="AK87" t="s">
        <v>63</v>
      </c>
      <c r="AL87" t="s">
        <v>376</v>
      </c>
      <c r="AM87" t="s">
        <v>46</v>
      </c>
      <c r="AN87" t="s">
        <v>60</v>
      </c>
      <c r="AO87" t="s">
        <v>62</v>
      </c>
      <c r="AP87" t="s">
        <v>381</v>
      </c>
      <c r="AQ87" t="s">
        <v>66</v>
      </c>
      <c r="AR87" t="s">
        <v>67</v>
      </c>
    </row>
    <row r="88" spans="1:44">
      <c r="A88" s="1">
        <v>45427</v>
      </c>
      <c r="B88" s="2">
        <v>0.23674768518518519</v>
      </c>
      <c r="C88" t="s">
        <v>44</v>
      </c>
      <c r="D88" t="s">
        <v>45</v>
      </c>
      <c r="E88">
        <v>0.48499999999999999</v>
      </c>
      <c r="F88" t="s">
        <v>46</v>
      </c>
      <c r="G88" t="s">
        <v>47</v>
      </c>
      <c r="H88" t="s">
        <v>45</v>
      </c>
      <c r="I88">
        <v>0.30819999999999997</v>
      </c>
      <c r="J88" t="s">
        <v>46</v>
      </c>
      <c r="K88" t="s">
        <v>48</v>
      </c>
      <c r="L88" t="s">
        <v>49</v>
      </c>
      <c r="M88" t="s">
        <v>50</v>
      </c>
      <c r="N88" t="s">
        <v>51</v>
      </c>
      <c r="O88">
        <v>3.45</v>
      </c>
      <c r="P88">
        <v>8.26</v>
      </c>
      <c r="Q88" t="s">
        <v>46</v>
      </c>
      <c r="R88" t="s">
        <v>52</v>
      </c>
      <c r="S88" t="s">
        <v>53</v>
      </c>
      <c r="T88" t="s">
        <v>46</v>
      </c>
      <c r="U88" t="s">
        <v>54</v>
      </c>
      <c r="V88" t="s">
        <v>55</v>
      </c>
      <c r="W88" t="s">
        <v>198</v>
      </c>
      <c r="X88" t="s">
        <v>355</v>
      </c>
      <c r="Y88">
        <v>1.31</v>
      </c>
      <c r="Z88" t="s">
        <v>46</v>
      </c>
      <c r="AA88" t="s">
        <v>58</v>
      </c>
      <c r="AB88" t="s">
        <v>59</v>
      </c>
      <c r="AC88">
        <v>282</v>
      </c>
      <c r="AD88" t="s">
        <v>46</v>
      </c>
      <c r="AE88" t="s">
        <v>60</v>
      </c>
      <c r="AF88" t="s">
        <v>45</v>
      </c>
      <c r="AG88" t="s">
        <v>46</v>
      </c>
      <c r="AH88" t="s">
        <v>61</v>
      </c>
      <c r="AI88" t="s">
        <v>48</v>
      </c>
      <c r="AJ88" t="s">
        <v>62</v>
      </c>
      <c r="AK88" t="s">
        <v>63</v>
      </c>
      <c r="AL88" t="s">
        <v>376</v>
      </c>
      <c r="AM88" t="s">
        <v>46</v>
      </c>
      <c r="AN88" t="s">
        <v>60</v>
      </c>
      <c r="AO88" t="s">
        <v>62</v>
      </c>
      <c r="AP88" t="s">
        <v>382</v>
      </c>
      <c r="AQ88" t="s">
        <v>66</v>
      </c>
      <c r="AR88" t="s">
        <v>67</v>
      </c>
    </row>
    <row r="89" spans="1:44">
      <c r="A89" s="1">
        <v>45427</v>
      </c>
      <c r="B89" s="2">
        <v>0.23679398148148148</v>
      </c>
      <c r="C89" t="s">
        <v>44</v>
      </c>
      <c r="D89" t="s">
        <v>45</v>
      </c>
      <c r="E89">
        <v>0.91200000000000003</v>
      </c>
      <c r="F89" t="s">
        <v>46</v>
      </c>
      <c r="G89" t="s">
        <v>47</v>
      </c>
      <c r="H89" t="s">
        <v>45</v>
      </c>
      <c r="I89">
        <v>0.30830000000000002</v>
      </c>
      <c r="J89" t="s">
        <v>46</v>
      </c>
      <c r="K89" t="s">
        <v>48</v>
      </c>
      <c r="L89" t="s">
        <v>49</v>
      </c>
      <c r="M89" t="s">
        <v>50</v>
      </c>
      <c r="N89" t="s">
        <v>51</v>
      </c>
      <c r="O89">
        <v>3.45</v>
      </c>
      <c r="P89">
        <v>8.26</v>
      </c>
      <c r="Q89" t="s">
        <v>46</v>
      </c>
      <c r="R89" t="s">
        <v>52</v>
      </c>
      <c r="S89" t="s">
        <v>53</v>
      </c>
      <c r="T89" t="s">
        <v>46</v>
      </c>
      <c r="U89" t="s">
        <v>54</v>
      </c>
      <c r="V89" t="s">
        <v>55</v>
      </c>
      <c r="W89" t="s">
        <v>350</v>
      </c>
      <c r="X89" t="s">
        <v>355</v>
      </c>
      <c r="Y89">
        <v>1.31</v>
      </c>
      <c r="Z89" t="s">
        <v>46</v>
      </c>
      <c r="AA89" t="s">
        <v>58</v>
      </c>
      <c r="AB89" t="s">
        <v>59</v>
      </c>
      <c r="AC89">
        <v>282</v>
      </c>
      <c r="AD89" t="s">
        <v>46</v>
      </c>
      <c r="AE89" t="s">
        <v>60</v>
      </c>
      <c r="AF89" t="s">
        <v>45</v>
      </c>
      <c r="AG89" t="s">
        <v>46</v>
      </c>
      <c r="AH89" t="s">
        <v>61</v>
      </c>
      <c r="AI89" t="s">
        <v>48</v>
      </c>
      <c r="AJ89" t="s">
        <v>62</v>
      </c>
      <c r="AK89" t="s">
        <v>63</v>
      </c>
      <c r="AL89" t="s">
        <v>376</v>
      </c>
      <c r="AM89" t="s">
        <v>46</v>
      </c>
      <c r="AN89" t="s">
        <v>60</v>
      </c>
      <c r="AO89" t="s">
        <v>62</v>
      </c>
      <c r="AP89" t="s">
        <v>383</v>
      </c>
      <c r="AQ89" t="s">
        <v>66</v>
      </c>
      <c r="AR89" t="s">
        <v>67</v>
      </c>
    </row>
    <row r="90" spans="1:44">
      <c r="A90" s="1">
        <v>45427</v>
      </c>
      <c r="B90" s="2">
        <v>0.23685185185185184</v>
      </c>
      <c r="C90" t="s">
        <v>44</v>
      </c>
      <c r="D90" t="s">
        <v>45</v>
      </c>
      <c r="E90">
        <v>0.65600000000000003</v>
      </c>
      <c r="F90" t="s">
        <v>46</v>
      </c>
      <c r="G90" t="s">
        <v>47</v>
      </c>
      <c r="H90" t="s">
        <v>45</v>
      </c>
      <c r="I90">
        <v>0.30819999999999997</v>
      </c>
      <c r="J90" t="s">
        <v>46</v>
      </c>
      <c r="K90" t="s">
        <v>48</v>
      </c>
      <c r="L90" t="s">
        <v>49</v>
      </c>
      <c r="M90" t="s">
        <v>50</v>
      </c>
      <c r="N90" t="s">
        <v>51</v>
      </c>
      <c r="O90">
        <v>3.45</v>
      </c>
      <c r="P90">
        <v>8.26</v>
      </c>
      <c r="Q90" t="s">
        <v>46</v>
      </c>
      <c r="R90" t="s">
        <v>52</v>
      </c>
      <c r="S90" t="s">
        <v>53</v>
      </c>
      <c r="T90" t="s">
        <v>46</v>
      </c>
      <c r="U90" t="s">
        <v>54</v>
      </c>
      <c r="V90" t="s">
        <v>55</v>
      </c>
      <c r="W90" t="s">
        <v>300</v>
      </c>
      <c r="X90" t="s">
        <v>95</v>
      </c>
      <c r="Y90">
        <v>1.32</v>
      </c>
      <c r="Z90" t="s">
        <v>46</v>
      </c>
      <c r="AA90" t="s">
        <v>58</v>
      </c>
      <c r="AB90" t="s">
        <v>59</v>
      </c>
      <c r="AC90">
        <v>282</v>
      </c>
      <c r="AD90" t="s">
        <v>46</v>
      </c>
      <c r="AE90" t="s">
        <v>60</v>
      </c>
      <c r="AF90" t="s">
        <v>45</v>
      </c>
      <c r="AG90" t="s">
        <v>46</v>
      </c>
      <c r="AH90" t="s">
        <v>61</v>
      </c>
      <c r="AI90" t="s">
        <v>48</v>
      </c>
      <c r="AJ90" t="s">
        <v>62</v>
      </c>
      <c r="AK90" t="s">
        <v>63</v>
      </c>
      <c r="AL90" t="s">
        <v>376</v>
      </c>
      <c r="AM90" t="s">
        <v>46</v>
      </c>
      <c r="AN90" t="s">
        <v>60</v>
      </c>
      <c r="AO90" t="s">
        <v>62</v>
      </c>
      <c r="AP90" t="s">
        <v>384</v>
      </c>
      <c r="AQ90" t="s">
        <v>66</v>
      </c>
      <c r="AR90" t="s">
        <v>67</v>
      </c>
    </row>
    <row r="91" spans="1:44">
      <c r="A91" s="1">
        <v>45427</v>
      </c>
      <c r="B91" s="2">
        <v>0.23689814814814814</v>
      </c>
      <c r="C91" t="s">
        <v>44</v>
      </c>
      <c r="D91" t="s">
        <v>45</v>
      </c>
      <c r="E91">
        <v>0.5</v>
      </c>
      <c r="F91" t="s">
        <v>46</v>
      </c>
      <c r="G91" t="s">
        <v>47</v>
      </c>
      <c r="H91" t="s">
        <v>45</v>
      </c>
      <c r="I91">
        <v>0.30809999999999998</v>
      </c>
      <c r="J91" t="s">
        <v>46</v>
      </c>
      <c r="K91" t="s">
        <v>48</v>
      </c>
      <c r="L91" t="s">
        <v>49</v>
      </c>
      <c r="M91" t="s">
        <v>50</v>
      </c>
      <c r="N91" t="s">
        <v>51</v>
      </c>
      <c r="O91">
        <v>3.45</v>
      </c>
      <c r="P91">
        <v>8.26</v>
      </c>
      <c r="Q91" t="s">
        <v>46</v>
      </c>
      <c r="R91" t="s">
        <v>52</v>
      </c>
      <c r="S91" t="s">
        <v>53</v>
      </c>
      <c r="T91" t="s">
        <v>46</v>
      </c>
      <c r="U91" t="s">
        <v>54</v>
      </c>
      <c r="V91" t="s">
        <v>55</v>
      </c>
      <c r="W91" t="s">
        <v>85</v>
      </c>
      <c r="X91" t="s">
        <v>95</v>
      </c>
      <c r="Y91">
        <v>1.31</v>
      </c>
      <c r="Z91" t="s">
        <v>46</v>
      </c>
      <c r="AA91" t="s">
        <v>58</v>
      </c>
      <c r="AB91" t="s">
        <v>59</v>
      </c>
      <c r="AC91">
        <v>282</v>
      </c>
      <c r="AD91" t="s">
        <v>46</v>
      </c>
      <c r="AE91" t="s">
        <v>60</v>
      </c>
      <c r="AF91" t="s">
        <v>45</v>
      </c>
      <c r="AG91" t="s">
        <v>46</v>
      </c>
      <c r="AH91" t="s">
        <v>61</v>
      </c>
      <c r="AI91" t="s">
        <v>48</v>
      </c>
      <c r="AJ91" t="s">
        <v>62</v>
      </c>
      <c r="AK91" t="s">
        <v>63</v>
      </c>
      <c r="AL91" t="s">
        <v>376</v>
      </c>
      <c r="AM91" t="s">
        <v>46</v>
      </c>
      <c r="AN91" t="s">
        <v>60</v>
      </c>
      <c r="AO91" t="s">
        <v>62</v>
      </c>
      <c r="AP91" t="s">
        <v>385</v>
      </c>
      <c r="AQ91" t="s">
        <v>66</v>
      </c>
      <c r="AR91" t="s">
        <v>67</v>
      </c>
    </row>
    <row r="92" spans="1:44">
      <c r="A92" s="1">
        <v>45427</v>
      </c>
      <c r="B92" s="2">
        <v>0.23694444444444446</v>
      </c>
      <c r="C92" t="s">
        <v>44</v>
      </c>
      <c r="D92" t="s">
        <v>45</v>
      </c>
      <c r="E92">
        <v>0.48499999999999999</v>
      </c>
      <c r="F92" t="s">
        <v>46</v>
      </c>
      <c r="G92" t="s">
        <v>47</v>
      </c>
      <c r="H92" t="s">
        <v>45</v>
      </c>
      <c r="I92">
        <v>0.30809999999999998</v>
      </c>
      <c r="J92" t="s">
        <v>46</v>
      </c>
      <c r="K92" t="s">
        <v>48</v>
      </c>
      <c r="L92" t="s">
        <v>49</v>
      </c>
      <c r="M92" t="s">
        <v>50</v>
      </c>
      <c r="N92" t="s">
        <v>51</v>
      </c>
      <c r="O92">
        <v>3.45</v>
      </c>
      <c r="P92">
        <v>8.26</v>
      </c>
      <c r="Q92" t="s">
        <v>46</v>
      </c>
      <c r="R92" t="s">
        <v>52</v>
      </c>
      <c r="S92" t="s">
        <v>53</v>
      </c>
      <c r="T92" t="s">
        <v>46</v>
      </c>
      <c r="U92" t="s">
        <v>54</v>
      </c>
      <c r="V92" t="s">
        <v>55</v>
      </c>
      <c r="W92" t="s">
        <v>380</v>
      </c>
      <c r="X92" t="s">
        <v>95</v>
      </c>
      <c r="Y92">
        <v>1.31</v>
      </c>
      <c r="Z92" t="s">
        <v>46</v>
      </c>
      <c r="AA92" t="s">
        <v>58</v>
      </c>
      <c r="AB92" t="s">
        <v>59</v>
      </c>
      <c r="AC92">
        <v>282</v>
      </c>
      <c r="AD92" t="s">
        <v>46</v>
      </c>
      <c r="AE92" t="s">
        <v>60</v>
      </c>
      <c r="AF92" t="s">
        <v>45</v>
      </c>
      <c r="AG92" t="s">
        <v>46</v>
      </c>
      <c r="AH92" t="s">
        <v>61</v>
      </c>
      <c r="AI92" t="s">
        <v>48</v>
      </c>
      <c r="AJ92" t="s">
        <v>62</v>
      </c>
      <c r="AK92" t="s">
        <v>63</v>
      </c>
      <c r="AL92" t="s">
        <v>376</v>
      </c>
      <c r="AM92" t="s">
        <v>46</v>
      </c>
      <c r="AN92" t="s">
        <v>60</v>
      </c>
      <c r="AO92" t="s">
        <v>62</v>
      </c>
      <c r="AP92" t="s">
        <v>386</v>
      </c>
      <c r="AQ92" t="s">
        <v>66</v>
      </c>
      <c r="AR92" t="s">
        <v>67</v>
      </c>
    </row>
    <row r="93" spans="1:44">
      <c r="A93" s="1">
        <v>45427</v>
      </c>
      <c r="B93" s="2">
        <v>0.23699074074074075</v>
      </c>
      <c r="C93" t="s">
        <v>44</v>
      </c>
      <c r="D93" t="s">
        <v>45</v>
      </c>
      <c r="E93">
        <v>0.70599999999999996</v>
      </c>
      <c r="F93" t="s">
        <v>46</v>
      </c>
      <c r="G93" t="s">
        <v>47</v>
      </c>
      <c r="H93" t="s">
        <v>45</v>
      </c>
      <c r="I93">
        <v>0.30809999999999998</v>
      </c>
      <c r="J93" t="s">
        <v>46</v>
      </c>
      <c r="K93" t="s">
        <v>48</v>
      </c>
      <c r="L93" t="s">
        <v>49</v>
      </c>
      <c r="M93" t="s">
        <v>50</v>
      </c>
      <c r="N93" t="s">
        <v>51</v>
      </c>
      <c r="O93">
        <v>3.45</v>
      </c>
      <c r="P93">
        <v>8.26</v>
      </c>
      <c r="Q93" t="s">
        <v>46</v>
      </c>
      <c r="R93" t="s">
        <v>52</v>
      </c>
      <c r="S93" t="s">
        <v>53</v>
      </c>
      <c r="T93" t="s">
        <v>46</v>
      </c>
      <c r="U93" t="s">
        <v>54</v>
      </c>
      <c r="V93" t="s">
        <v>55</v>
      </c>
      <c r="W93" t="s">
        <v>380</v>
      </c>
      <c r="X93" t="s">
        <v>95</v>
      </c>
      <c r="Y93">
        <v>1.31</v>
      </c>
      <c r="Z93" t="s">
        <v>46</v>
      </c>
      <c r="AA93" t="s">
        <v>58</v>
      </c>
      <c r="AB93" t="s">
        <v>59</v>
      </c>
      <c r="AC93">
        <v>282</v>
      </c>
      <c r="AD93" t="s">
        <v>46</v>
      </c>
      <c r="AE93" t="s">
        <v>60</v>
      </c>
      <c r="AF93" t="s">
        <v>45</v>
      </c>
      <c r="AG93" t="s">
        <v>46</v>
      </c>
      <c r="AH93" t="s">
        <v>61</v>
      </c>
      <c r="AI93" t="s">
        <v>48</v>
      </c>
      <c r="AJ93" t="s">
        <v>62</v>
      </c>
      <c r="AK93" t="s">
        <v>63</v>
      </c>
      <c r="AL93" t="s">
        <v>376</v>
      </c>
      <c r="AM93" t="s">
        <v>46</v>
      </c>
      <c r="AN93" t="s">
        <v>60</v>
      </c>
      <c r="AO93" t="s">
        <v>62</v>
      </c>
      <c r="AP93" t="s">
        <v>387</v>
      </c>
      <c r="AQ93" t="s">
        <v>66</v>
      </c>
      <c r="AR93" t="s">
        <v>67</v>
      </c>
    </row>
    <row r="94" spans="1:44">
      <c r="A94" s="1">
        <v>45427</v>
      </c>
      <c r="B94" s="2">
        <v>0.23704861111111111</v>
      </c>
      <c r="C94" t="s">
        <v>44</v>
      </c>
      <c r="D94" t="s">
        <v>45</v>
      </c>
      <c r="E94">
        <v>0.83799999999999997</v>
      </c>
      <c r="F94" t="s">
        <v>46</v>
      </c>
      <c r="G94" t="s">
        <v>47</v>
      </c>
      <c r="H94" t="s">
        <v>45</v>
      </c>
      <c r="I94">
        <v>0.30819999999999997</v>
      </c>
      <c r="J94" t="s">
        <v>46</v>
      </c>
      <c r="K94" t="s">
        <v>48</v>
      </c>
      <c r="L94" t="s">
        <v>49</v>
      </c>
      <c r="M94" t="s">
        <v>50</v>
      </c>
      <c r="N94" t="s">
        <v>51</v>
      </c>
      <c r="O94">
        <v>3.45</v>
      </c>
      <c r="P94">
        <v>8.26</v>
      </c>
      <c r="Q94" t="s">
        <v>46</v>
      </c>
      <c r="R94" t="s">
        <v>52</v>
      </c>
      <c r="S94" t="s">
        <v>53</v>
      </c>
      <c r="T94" t="s">
        <v>46</v>
      </c>
      <c r="U94" t="s">
        <v>54</v>
      </c>
      <c r="V94" t="s">
        <v>55</v>
      </c>
      <c r="W94" t="s">
        <v>317</v>
      </c>
      <c r="X94" t="s">
        <v>335</v>
      </c>
      <c r="Y94">
        <v>1.3</v>
      </c>
      <c r="Z94" t="s">
        <v>46</v>
      </c>
      <c r="AA94" t="s">
        <v>58</v>
      </c>
      <c r="AB94" t="s">
        <v>59</v>
      </c>
      <c r="AC94">
        <v>283</v>
      </c>
      <c r="AD94" t="s">
        <v>46</v>
      </c>
      <c r="AE94" t="s">
        <v>60</v>
      </c>
      <c r="AF94" t="s">
        <v>45</v>
      </c>
      <c r="AG94" t="s">
        <v>46</v>
      </c>
      <c r="AH94" t="s">
        <v>61</v>
      </c>
      <c r="AI94" t="s">
        <v>48</v>
      </c>
      <c r="AJ94" t="s">
        <v>62</v>
      </c>
      <c r="AK94" t="s">
        <v>63</v>
      </c>
      <c r="AL94" t="s">
        <v>376</v>
      </c>
      <c r="AM94" t="s">
        <v>46</v>
      </c>
      <c r="AN94" t="s">
        <v>60</v>
      </c>
      <c r="AO94" t="s">
        <v>62</v>
      </c>
      <c r="AP94" t="s">
        <v>388</v>
      </c>
      <c r="AQ94" t="s">
        <v>66</v>
      </c>
      <c r="AR94" t="s">
        <v>67</v>
      </c>
    </row>
    <row r="95" spans="1:44">
      <c r="A95" s="1">
        <v>45427</v>
      </c>
      <c r="B95" s="2">
        <v>0.23709490740740741</v>
      </c>
      <c r="C95" t="s">
        <v>44</v>
      </c>
      <c r="D95" t="s">
        <v>45</v>
      </c>
      <c r="E95">
        <v>0.48499999999999999</v>
      </c>
      <c r="F95" t="s">
        <v>46</v>
      </c>
      <c r="G95" t="s">
        <v>47</v>
      </c>
      <c r="H95" t="s">
        <v>45</v>
      </c>
      <c r="I95">
        <v>0.30809999999999998</v>
      </c>
      <c r="J95" t="s">
        <v>46</v>
      </c>
      <c r="K95" t="s">
        <v>48</v>
      </c>
      <c r="L95" t="s">
        <v>49</v>
      </c>
      <c r="M95" t="s">
        <v>50</v>
      </c>
      <c r="N95" t="s">
        <v>51</v>
      </c>
      <c r="O95">
        <v>3.45</v>
      </c>
      <c r="P95">
        <v>8.26</v>
      </c>
      <c r="Q95" t="s">
        <v>46</v>
      </c>
      <c r="R95" t="s">
        <v>52</v>
      </c>
      <c r="S95" t="s">
        <v>53</v>
      </c>
      <c r="T95" t="s">
        <v>46</v>
      </c>
      <c r="U95" t="s">
        <v>54</v>
      </c>
      <c r="V95" t="s">
        <v>55</v>
      </c>
      <c r="W95" t="s">
        <v>92</v>
      </c>
      <c r="X95" t="s">
        <v>335</v>
      </c>
      <c r="Y95">
        <v>1.3</v>
      </c>
      <c r="Z95" t="s">
        <v>46</v>
      </c>
      <c r="AA95" t="s">
        <v>58</v>
      </c>
      <c r="AB95" t="s">
        <v>59</v>
      </c>
      <c r="AC95">
        <v>282</v>
      </c>
      <c r="AD95" t="s">
        <v>46</v>
      </c>
      <c r="AE95" t="s">
        <v>60</v>
      </c>
      <c r="AF95" t="s">
        <v>45</v>
      </c>
      <c r="AG95" t="s">
        <v>46</v>
      </c>
      <c r="AH95" t="s">
        <v>61</v>
      </c>
      <c r="AI95" t="s">
        <v>48</v>
      </c>
      <c r="AJ95" t="s">
        <v>62</v>
      </c>
      <c r="AK95" t="s">
        <v>63</v>
      </c>
      <c r="AL95" t="s">
        <v>376</v>
      </c>
      <c r="AM95" t="s">
        <v>46</v>
      </c>
      <c r="AN95" t="s">
        <v>60</v>
      </c>
      <c r="AO95" t="s">
        <v>62</v>
      </c>
      <c r="AP95" t="s">
        <v>389</v>
      </c>
      <c r="AQ95" t="s">
        <v>66</v>
      </c>
      <c r="AR95" t="s">
        <v>67</v>
      </c>
    </row>
    <row r="96" spans="1:44">
      <c r="A96" s="1">
        <v>45427</v>
      </c>
      <c r="B96" s="2">
        <v>0.2371412037037037</v>
      </c>
      <c r="C96" t="s">
        <v>44</v>
      </c>
      <c r="D96" t="s">
        <v>45</v>
      </c>
      <c r="E96">
        <v>0.70599999999999996</v>
      </c>
      <c r="F96" t="s">
        <v>46</v>
      </c>
      <c r="G96" t="s">
        <v>47</v>
      </c>
      <c r="H96" t="s">
        <v>45</v>
      </c>
      <c r="I96">
        <v>0.30809999999999998</v>
      </c>
      <c r="J96" t="s">
        <v>46</v>
      </c>
      <c r="K96" t="s">
        <v>48</v>
      </c>
      <c r="L96" t="s">
        <v>49</v>
      </c>
      <c r="M96" t="s">
        <v>50</v>
      </c>
      <c r="N96" t="s">
        <v>51</v>
      </c>
      <c r="O96">
        <v>3.45</v>
      </c>
      <c r="P96">
        <v>8.26</v>
      </c>
      <c r="Q96" t="s">
        <v>46</v>
      </c>
      <c r="R96" t="s">
        <v>52</v>
      </c>
      <c r="S96" t="s">
        <v>53</v>
      </c>
      <c r="T96" t="s">
        <v>46</v>
      </c>
      <c r="U96" t="s">
        <v>54</v>
      </c>
      <c r="V96" t="s">
        <v>55</v>
      </c>
      <c r="W96" t="s">
        <v>98</v>
      </c>
      <c r="X96" t="s">
        <v>310</v>
      </c>
      <c r="Y96">
        <v>1.3</v>
      </c>
      <c r="Z96" t="s">
        <v>46</v>
      </c>
      <c r="AA96" t="s">
        <v>58</v>
      </c>
      <c r="AB96" t="s">
        <v>59</v>
      </c>
      <c r="AC96">
        <v>283</v>
      </c>
      <c r="AD96" t="s">
        <v>46</v>
      </c>
      <c r="AE96" t="s">
        <v>60</v>
      </c>
      <c r="AF96" t="s">
        <v>45</v>
      </c>
      <c r="AG96" t="s">
        <v>46</v>
      </c>
      <c r="AH96" t="s">
        <v>61</v>
      </c>
      <c r="AI96" t="s">
        <v>48</v>
      </c>
      <c r="AJ96" t="s">
        <v>62</v>
      </c>
      <c r="AK96" t="s">
        <v>63</v>
      </c>
      <c r="AL96" t="s">
        <v>376</v>
      </c>
      <c r="AM96" t="s">
        <v>46</v>
      </c>
      <c r="AN96" t="s">
        <v>60</v>
      </c>
      <c r="AO96" t="s">
        <v>62</v>
      </c>
      <c r="AP96" t="s">
        <v>390</v>
      </c>
      <c r="AQ96" t="s">
        <v>66</v>
      </c>
      <c r="AR96" t="s">
        <v>67</v>
      </c>
    </row>
    <row r="97" spans="1:44">
      <c r="A97" s="1">
        <v>45427</v>
      </c>
      <c r="B97" s="2">
        <v>0.2371875</v>
      </c>
      <c r="C97" t="s">
        <v>44</v>
      </c>
      <c r="D97" t="s">
        <v>45</v>
      </c>
      <c r="E97">
        <v>0.46899999999999997</v>
      </c>
      <c r="F97" t="s">
        <v>46</v>
      </c>
      <c r="G97" t="s">
        <v>47</v>
      </c>
      <c r="H97" t="s">
        <v>45</v>
      </c>
      <c r="I97">
        <v>0.30819999999999997</v>
      </c>
      <c r="J97" t="s">
        <v>46</v>
      </c>
      <c r="K97" t="s">
        <v>48</v>
      </c>
      <c r="L97" t="s">
        <v>49</v>
      </c>
      <c r="M97" t="s">
        <v>50</v>
      </c>
      <c r="N97" t="s">
        <v>51</v>
      </c>
      <c r="O97">
        <v>3.45</v>
      </c>
      <c r="P97">
        <v>8.26</v>
      </c>
      <c r="Q97" t="s">
        <v>46</v>
      </c>
      <c r="R97" t="s">
        <v>52</v>
      </c>
      <c r="S97" t="s">
        <v>53</v>
      </c>
      <c r="T97" t="s">
        <v>46</v>
      </c>
      <c r="U97" t="s">
        <v>54</v>
      </c>
      <c r="V97" t="s">
        <v>55</v>
      </c>
      <c r="W97" t="s">
        <v>210</v>
      </c>
      <c r="X97" t="s">
        <v>109</v>
      </c>
      <c r="Y97">
        <v>1.29</v>
      </c>
      <c r="Z97" t="s">
        <v>46</v>
      </c>
      <c r="AA97" t="s">
        <v>58</v>
      </c>
      <c r="AB97" t="s">
        <v>59</v>
      </c>
      <c r="AC97">
        <v>283</v>
      </c>
      <c r="AD97" t="s">
        <v>46</v>
      </c>
      <c r="AE97" t="s">
        <v>60</v>
      </c>
      <c r="AF97" t="s">
        <v>45</v>
      </c>
      <c r="AG97" t="s">
        <v>46</v>
      </c>
      <c r="AH97" t="s">
        <v>61</v>
      </c>
      <c r="AI97" t="s">
        <v>48</v>
      </c>
      <c r="AJ97" t="s">
        <v>62</v>
      </c>
      <c r="AK97" t="s">
        <v>63</v>
      </c>
      <c r="AL97" t="s">
        <v>376</v>
      </c>
      <c r="AM97" t="s">
        <v>46</v>
      </c>
      <c r="AN97" t="s">
        <v>60</v>
      </c>
      <c r="AO97" t="s">
        <v>62</v>
      </c>
      <c r="AP97" t="s">
        <v>391</v>
      </c>
      <c r="AQ97" t="s">
        <v>66</v>
      </c>
      <c r="AR97" t="s">
        <v>67</v>
      </c>
    </row>
    <row r="98" spans="1:44">
      <c r="A98" s="1">
        <v>45427</v>
      </c>
      <c r="B98" s="2">
        <v>0.23724537037037038</v>
      </c>
      <c r="C98" t="s">
        <v>44</v>
      </c>
      <c r="D98" t="s">
        <v>45</v>
      </c>
      <c r="E98">
        <v>0.55900000000000005</v>
      </c>
      <c r="F98" t="s">
        <v>46</v>
      </c>
      <c r="G98" t="s">
        <v>47</v>
      </c>
      <c r="H98" t="s">
        <v>45</v>
      </c>
      <c r="I98">
        <v>0.30819999999999997</v>
      </c>
      <c r="J98" t="s">
        <v>46</v>
      </c>
      <c r="K98" t="s">
        <v>48</v>
      </c>
      <c r="L98" t="s">
        <v>49</v>
      </c>
      <c r="M98" t="s">
        <v>50</v>
      </c>
      <c r="N98" t="s">
        <v>51</v>
      </c>
      <c r="O98">
        <v>3.45</v>
      </c>
      <c r="P98">
        <v>8.26</v>
      </c>
      <c r="Q98" t="s">
        <v>46</v>
      </c>
      <c r="R98" t="s">
        <v>52</v>
      </c>
      <c r="S98" t="s">
        <v>53</v>
      </c>
      <c r="T98" t="s">
        <v>46</v>
      </c>
      <c r="U98" t="s">
        <v>54</v>
      </c>
      <c r="V98" t="s">
        <v>55</v>
      </c>
      <c r="W98" t="s">
        <v>247</v>
      </c>
      <c r="X98" t="s">
        <v>109</v>
      </c>
      <c r="Y98">
        <v>1.29</v>
      </c>
      <c r="Z98" t="s">
        <v>46</v>
      </c>
      <c r="AA98" t="s">
        <v>58</v>
      </c>
      <c r="AB98" t="s">
        <v>59</v>
      </c>
      <c r="AC98">
        <v>283</v>
      </c>
      <c r="AD98" t="s">
        <v>46</v>
      </c>
      <c r="AE98" t="s">
        <v>60</v>
      </c>
      <c r="AF98" t="s">
        <v>45</v>
      </c>
      <c r="AG98" t="s">
        <v>46</v>
      </c>
      <c r="AH98" t="s">
        <v>61</v>
      </c>
      <c r="AI98" t="s">
        <v>48</v>
      </c>
      <c r="AJ98" t="s">
        <v>62</v>
      </c>
      <c r="AK98" t="s">
        <v>63</v>
      </c>
      <c r="AL98" t="s">
        <v>376</v>
      </c>
      <c r="AM98" t="s">
        <v>46</v>
      </c>
      <c r="AN98" t="s">
        <v>60</v>
      </c>
      <c r="AO98" t="s">
        <v>62</v>
      </c>
      <c r="AP98" t="s">
        <v>392</v>
      </c>
      <c r="AQ98" t="s">
        <v>66</v>
      </c>
      <c r="AR98" t="s">
        <v>67</v>
      </c>
    </row>
    <row r="99" spans="1:44">
      <c r="A99" s="1">
        <v>45427</v>
      </c>
      <c r="B99" s="2">
        <v>0.23729166666666668</v>
      </c>
      <c r="C99" t="s">
        <v>44</v>
      </c>
      <c r="D99" t="s">
        <v>45</v>
      </c>
      <c r="E99">
        <v>0.74199999999999999</v>
      </c>
      <c r="F99" t="s">
        <v>46</v>
      </c>
      <c r="G99" t="s">
        <v>47</v>
      </c>
      <c r="H99" t="s">
        <v>45</v>
      </c>
      <c r="I99">
        <v>0.30809999999999998</v>
      </c>
      <c r="J99" t="s">
        <v>46</v>
      </c>
      <c r="K99" t="s">
        <v>48</v>
      </c>
      <c r="L99" t="s">
        <v>49</v>
      </c>
      <c r="M99" t="s">
        <v>50</v>
      </c>
      <c r="N99" t="s">
        <v>51</v>
      </c>
      <c r="O99">
        <v>3.45</v>
      </c>
      <c r="P99">
        <v>8.26</v>
      </c>
      <c r="Q99" t="s">
        <v>46</v>
      </c>
      <c r="R99" t="s">
        <v>52</v>
      </c>
      <c r="S99" t="s">
        <v>53</v>
      </c>
      <c r="T99" t="s">
        <v>46</v>
      </c>
      <c r="U99" t="s">
        <v>54</v>
      </c>
      <c r="V99" t="s">
        <v>55</v>
      </c>
      <c r="W99" t="s">
        <v>224</v>
      </c>
      <c r="X99" t="s">
        <v>310</v>
      </c>
      <c r="Y99">
        <v>1.29</v>
      </c>
      <c r="Z99" t="s">
        <v>46</v>
      </c>
      <c r="AA99" t="s">
        <v>58</v>
      </c>
      <c r="AB99" t="s">
        <v>59</v>
      </c>
      <c r="AC99">
        <v>284</v>
      </c>
      <c r="AD99" t="s">
        <v>46</v>
      </c>
      <c r="AE99" t="s">
        <v>60</v>
      </c>
      <c r="AF99" t="s">
        <v>45</v>
      </c>
      <c r="AG99" t="s">
        <v>46</v>
      </c>
      <c r="AH99" t="s">
        <v>61</v>
      </c>
      <c r="AI99" t="s">
        <v>48</v>
      </c>
      <c r="AJ99" t="s">
        <v>62</v>
      </c>
      <c r="AK99" t="s">
        <v>63</v>
      </c>
      <c r="AL99" t="s">
        <v>376</v>
      </c>
      <c r="AM99" t="s">
        <v>46</v>
      </c>
      <c r="AN99" t="s">
        <v>60</v>
      </c>
      <c r="AO99" t="s">
        <v>62</v>
      </c>
      <c r="AP99" t="s">
        <v>393</v>
      </c>
      <c r="AQ99" t="s">
        <v>66</v>
      </c>
      <c r="AR99" t="s">
        <v>67</v>
      </c>
    </row>
    <row r="100" spans="1:44">
      <c r="A100" s="1">
        <v>45427</v>
      </c>
      <c r="B100" s="2">
        <v>0.23733796296296297</v>
      </c>
      <c r="C100" t="s">
        <v>44</v>
      </c>
      <c r="D100" t="s">
        <v>45</v>
      </c>
      <c r="E100">
        <v>0.57599999999999996</v>
      </c>
      <c r="F100" t="s">
        <v>46</v>
      </c>
      <c r="G100" t="s">
        <v>47</v>
      </c>
      <c r="H100" t="s">
        <v>45</v>
      </c>
      <c r="I100">
        <v>0.30830000000000002</v>
      </c>
      <c r="J100" t="s">
        <v>46</v>
      </c>
      <c r="K100" t="s">
        <v>48</v>
      </c>
      <c r="L100" t="s">
        <v>49</v>
      </c>
      <c r="M100" t="s">
        <v>50</v>
      </c>
      <c r="N100" t="s">
        <v>51</v>
      </c>
      <c r="O100">
        <v>3.45</v>
      </c>
      <c r="P100">
        <v>8.26</v>
      </c>
      <c r="Q100" t="s">
        <v>46</v>
      </c>
      <c r="R100" t="s">
        <v>52</v>
      </c>
      <c r="S100" t="s">
        <v>53</v>
      </c>
      <c r="T100" t="s">
        <v>46</v>
      </c>
      <c r="U100" t="s">
        <v>54</v>
      </c>
      <c r="V100" t="s">
        <v>55</v>
      </c>
      <c r="W100" t="s">
        <v>224</v>
      </c>
      <c r="X100" t="s">
        <v>310</v>
      </c>
      <c r="Y100">
        <v>1.29</v>
      </c>
      <c r="Z100" t="s">
        <v>46</v>
      </c>
      <c r="AA100" t="s">
        <v>58</v>
      </c>
      <c r="AB100" t="s">
        <v>59</v>
      </c>
      <c r="AC100">
        <v>283</v>
      </c>
      <c r="AD100" t="s">
        <v>46</v>
      </c>
      <c r="AE100" t="s">
        <v>60</v>
      </c>
      <c r="AF100" t="s">
        <v>45</v>
      </c>
      <c r="AG100" t="s">
        <v>46</v>
      </c>
      <c r="AH100" t="s">
        <v>61</v>
      </c>
      <c r="AI100" t="s">
        <v>48</v>
      </c>
      <c r="AJ100" t="s">
        <v>62</v>
      </c>
      <c r="AK100" t="s">
        <v>63</v>
      </c>
      <c r="AL100" t="s">
        <v>376</v>
      </c>
      <c r="AM100" t="s">
        <v>46</v>
      </c>
      <c r="AN100" t="s">
        <v>60</v>
      </c>
      <c r="AO100" t="s">
        <v>62</v>
      </c>
      <c r="AP100" t="s">
        <v>394</v>
      </c>
      <c r="AQ100" t="s">
        <v>66</v>
      </c>
      <c r="AR100" t="s">
        <v>67</v>
      </c>
    </row>
    <row r="101" spans="1:44">
      <c r="A101" s="1">
        <v>45427</v>
      </c>
      <c r="B101" s="2">
        <v>0.23738425925925927</v>
      </c>
      <c r="C101" t="s">
        <v>44</v>
      </c>
      <c r="D101" t="s">
        <v>45</v>
      </c>
      <c r="E101">
        <v>0.45500000000000002</v>
      </c>
      <c r="F101" t="s">
        <v>46</v>
      </c>
      <c r="G101" t="s">
        <v>47</v>
      </c>
      <c r="H101" t="s">
        <v>45</v>
      </c>
      <c r="I101">
        <v>0.30830000000000002</v>
      </c>
      <c r="J101" t="s">
        <v>46</v>
      </c>
      <c r="K101" t="s">
        <v>48</v>
      </c>
      <c r="L101" t="s">
        <v>49</v>
      </c>
      <c r="M101" t="s">
        <v>50</v>
      </c>
      <c r="N101" t="s">
        <v>51</v>
      </c>
      <c r="O101">
        <v>3.45</v>
      </c>
      <c r="P101">
        <v>8.26</v>
      </c>
      <c r="Q101" t="s">
        <v>46</v>
      </c>
      <c r="R101" t="s">
        <v>52</v>
      </c>
      <c r="S101" t="s">
        <v>53</v>
      </c>
      <c r="T101" t="s">
        <v>46</v>
      </c>
      <c r="U101" t="s">
        <v>54</v>
      </c>
      <c r="V101" t="s">
        <v>55</v>
      </c>
      <c r="W101" t="s">
        <v>224</v>
      </c>
      <c r="X101" t="s">
        <v>310</v>
      </c>
      <c r="Y101">
        <v>1.29</v>
      </c>
      <c r="Z101" t="s">
        <v>46</v>
      </c>
      <c r="AA101" t="s">
        <v>58</v>
      </c>
      <c r="AB101" t="s">
        <v>59</v>
      </c>
      <c r="AC101">
        <v>283</v>
      </c>
      <c r="AD101" t="s">
        <v>46</v>
      </c>
      <c r="AE101" t="s">
        <v>60</v>
      </c>
      <c r="AF101" t="s">
        <v>45</v>
      </c>
      <c r="AG101" t="s">
        <v>46</v>
      </c>
      <c r="AH101" t="s">
        <v>61</v>
      </c>
      <c r="AI101" t="s">
        <v>48</v>
      </c>
      <c r="AJ101" t="s">
        <v>62</v>
      </c>
      <c r="AK101" t="s">
        <v>63</v>
      </c>
      <c r="AL101" t="s">
        <v>376</v>
      </c>
      <c r="AM101" t="s">
        <v>46</v>
      </c>
      <c r="AN101" t="s">
        <v>60</v>
      </c>
      <c r="AO101" t="s">
        <v>62</v>
      </c>
      <c r="AP101" t="s">
        <v>395</v>
      </c>
      <c r="AQ101" t="s">
        <v>66</v>
      </c>
      <c r="AR101" t="s">
        <v>67</v>
      </c>
    </row>
    <row r="102" spans="1:44">
      <c r="A102" s="1">
        <v>45427</v>
      </c>
      <c r="B102" s="2">
        <v>0.23744212962962963</v>
      </c>
      <c r="C102" t="s">
        <v>44</v>
      </c>
      <c r="D102" t="s">
        <v>45</v>
      </c>
      <c r="E102">
        <v>0.71899999999999997</v>
      </c>
      <c r="F102" t="s">
        <v>46</v>
      </c>
      <c r="G102" t="s">
        <v>47</v>
      </c>
      <c r="H102" t="s">
        <v>45</v>
      </c>
      <c r="I102">
        <v>0.30830000000000002</v>
      </c>
      <c r="J102" t="s">
        <v>46</v>
      </c>
      <c r="K102" t="s">
        <v>48</v>
      </c>
      <c r="L102" t="s">
        <v>49</v>
      </c>
      <c r="M102" t="s">
        <v>50</v>
      </c>
      <c r="N102" t="s">
        <v>51</v>
      </c>
      <c r="O102">
        <v>3.45</v>
      </c>
      <c r="P102">
        <v>8.26</v>
      </c>
      <c r="Q102" t="s">
        <v>46</v>
      </c>
      <c r="R102" t="s">
        <v>52</v>
      </c>
      <c r="S102" t="s">
        <v>53</v>
      </c>
      <c r="T102" t="s">
        <v>46</v>
      </c>
      <c r="U102" t="s">
        <v>54</v>
      </c>
      <c r="V102" t="s">
        <v>55</v>
      </c>
      <c r="W102" t="s">
        <v>247</v>
      </c>
      <c r="X102" t="s">
        <v>109</v>
      </c>
      <c r="Y102">
        <v>1.28</v>
      </c>
      <c r="Z102" t="s">
        <v>46</v>
      </c>
      <c r="AA102" t="s">
        <v>58</v>
      </c>
      <c r="AB102" t="s">
        <v>59</v>
      </c>
      <c r="AC102">
        <v>283</v>
      </c>
      <c r="AD102" t="s">
        <v>46</v>
      </c>
      <c r="AE102" t="s">
        <v>60</v>
      </c>
      <c r="AF102" t="s">
        <v>45</v>
      </c>
      <c r="AG102" t="s">
        <v>46</v>
      </c>
      <c r="AH102" t="s">
        <v>61</v>
      </c>
      <c r="AI102" t="s">
        <v>48</v>
      </c>
      <c r="AJ102" t="s">
        <v>62</v>
      </c>
      <c r="AK102" t="s">
        <v>63</v>
      </c>
      <c r="AL102" t="s">
        <v>376</v>
      </c>
      <c r="AM102" t="s">
        <v>46</v>
      </c>
      <c r="AN102" t="s">
        <v>60</v>
      </c>
      <c r="AO102" t="s">
        <v>62</v>
      </c>
      <c r="AP102" t="s">
        <v>396</v>
      </c>
      <c r="AQ102" t="s">
        <v>66</v>
      </c>
      <c r="AR102" t="s">
        <v>67</v>
      </c>
    </row>
    <row r="103" spans="1:44">
      <c r="A103" s="1">
        <v>45427</v>
      </c>
      <c r="B103" s="2">
        <v>0.23748842592592592</v>
      </c>
      <c r="C103" t="s">
        <v>44</v>
      </c>
      <c r="D103" t="s">
        <v>45</v>
      </c>
      <c r="E103">
        <v>0.84799999999999998</v>
      </c>
      <c r="F103" t="s">
        <v>46</v>
      </c>
      <c r="G103" t="s">
        <v>47</v>
      </c>
      <c r="H103" t="s">
        <v>45</v>
      </c>
      <c r="I103">
        <v>0.30830000000000002</v>
      </c>
      <c r="J103" t="s">
        <v>46</v>
      </c>
      <c r="K103" t="s">
        <v>48</v>
      </c>
      <c r="L103" t="s">
        <v>49</v>
      </c>
      <c r="M103" t="s">
        <v>50</v>
      </c>
      <c r="N103" t="s">
        <v>51</v>
      </c>
      <c r="O103">
        <v>3.45</v>
      </c>
      <c r="P103">
        <v>8.26</v>
      </c>
      <c r="Q103" t="s">
        <v>46</v>
      </c>
      <c r="R103" t="s">
        <v>52</v>
      </c>
      <c r="S103" t="s">
        <v>53</v>
      </c>
      <c r="T103" t="s">
        <v>46</v>
      </c>
      <c r="U103" t="s">
        <v>54</v>
      </c>
      <c r="V103" t="s">
        <v>55</v>
      </c>
      <c r="W103" t="s">
        <v>247</v>
      </c>
      <c r="X103" t="s">
        <v>109</v>
      </c>
      <c r="Y103">
        <v>1.28</v>
      </c>
      <c r="Z103" t="s">
        <v>46</v>
      </c>
      <c r="AA103" t="s">
        <v>58</v>
      </c>
      <c r="AB103" t="s">
        <v>59</v>
      </c>
      <c r="AC103">
        <v>283</v>
      </c>
      <c r="AD103" t="s">
        <v>46</v>
      </c>
      <c r="AE103" t="s">
        <v>60</v>
      </c>
      <c r="AF103" t="s">
        <v>45</v>
      </c>
      <c r="AG103" t="s">
        <v>46</v>
      </c>
      <c r="AH103" t="s">
        <v>61</v>
      </c>
      <c r="AI103" t="s">
        <v>48</v>
      </c>
      <c r="AJ103" t="s">
        <v>62</v>
      </c>
      <c r="AK103" t="s">
        <v>63</v>
      </c>
      <c r="AL103" t="s">
        <v>376</v>
      </c>
      <c r="AM103" t="s">
        <v>46</v>
      </c>
      <c r="AN103" t="s">
        <v>60</v>
      </c>
      <c r="AO103" t="s">
        <v>62</v>
      </c>
      <c r="AP103" t="s">
        <v>397</v>
      </c>
      <c r="AQ103" t="s">
        <v>66</v>
      </c>
      <c r="AR103" t="s">
        <v>67</v>
      </c>
    </row>
    <row r="104" spans="1:44">
      <c r="A104" s="1">
        <v>45427</v>
      </c>
      <c r="B104" s="2">
        <v>0.23753472222222222</v>
      </c>
      <c r="C104" t="s">
        <v>44</v>
      </c>
      <c r="D104" t="s">
        <v>45</v>
      </c>
      <c r="E104">
        <v>0.45500000000000002</v>
      </c>
      <c r="F104" t="s">
        <v>46</v>
      </c>
      <c r="G104" t="s">
        <v>47</v>
      </c>
      <c r="H104" t="s">
        <v>45</v>
      </c>
      <c r="I104">
        <v>0.30840000000000001</v>
      </c>
      <c r="J104" t="s">
        <v>46</v>
      </c>
      <c r="K104" t="s">
        <v>48</v>
      </c>
      <c r="L104" t="s">
        <v>49</v>
      </c>
      <c r="M104" t="s">
        <v>50</v>
      </c>
      <c r="N104" t="s">
        <v>51</v>
      </c>
      <c r="O104">
        <v>3.45</v>
      </c>
      <c r="P104">
        <v>8.26</v>
      </c>
      <c r="Q104" t="s">
        <v>46</v>
      </c>
      <c r="R104" t="s">
        <v>52</v>
      </c>
      <c r="S104" t="s">
        <v>53</v>
      </c>
      <c r="T104" t="s">
        <v>46</v>
      </c>
      <c r="U104" t="s">
        <v>54</v>
      </c>
      <c r="V104" t="s">
        <v>55</v>
      </c>
      <c r="W104" t="s">
        <v>109</v>
      </c>
      <c r="X104" t="s">
        <v>310</v>
      </c>
      <c r="Y104">
        <v>1.28</v>
      </c>
      <c r="Z104" t="s">
        <v>46</v>
      </c>
      <c r="AA104" t="s">
        <v>58</v>
      </c>
      <c r="AB104" t="s">
        <v>59</v>
      </c>
      <c r="AC104">
        <v>283</v>
      </c>
      <c r="AD104" t="s">
        <v>46</v>
      </c>
      <c r="AE104" t="s">
        <v>60</v>
      </c>
      <c r="AF104" t="s">
        <v>45</v>
      </c>
      <c r="AG104" t="s">
        <v>46</v>
      </c>
      <c r="AH104" t="s">
        <v>61</v>
      </c>
      <c r="AI104" t="s">
        <v>48</v>
      </c>
      <c r="AJ104" t="s">
        <v>62</v>
      </c>
      <c r="AK104" t="s">
        <v>63</v>
      </c>
      <c r="AL104" t="s">
        <v>376</v>
      </c>
      <c r="AM104" t="s">
        <v>46</v>
      </c>
      <c r="AN104" t="s">
        <v>60</v>
      </c>
      <c r="AO104" t="s">
        <v>62</v>
      </c>
      <c r="AP104" t="s">
        <v>398</v>
      </c>
      <c r="AQ104" t="s">
        <v>66</v>
      </c>
      <c r="AR104" t="s">
        <v>67</v>
      </c>
    </row>
    <row r="105" spans="1:44">
      <c r="A105" s="1">
        <v>45427</v>
      </c>
      <c r="B105" s="2">
        <v>0.23758101851851851</v>
      </c>
      <c r="C105" t="s">
        <v>44</v>
      </c>
      <c r="D105" t="s">
        <v>45</v>
      </c>
      <c r="E105">
        <v>0.67700000000000005</v>
      </c>
      <c r="F105" t="s">
        <v>46</v>
      </c>
      <c r="G105" t="s">
        <v>47</v>
      </c>
      <c r="H105" t="s">
        <v>45</v>
      </c>
      <c r="I105">
        <v>0.30830000000000002</v>
      </c>
      <c r="J105" t="s">
        <v>46</v>
      </c>
      <c r="K105" t="s">
        <v>48</v>
      </c>
      <c r="L105" t="s">
        <v>49</v>
      </c>
      <c r="M105" t="s">
        <v>50</v>
      </c>
      <c r="N105" t="s">
        <v>51</v>
      </c>
      <c r="O105">
        <v>3.45</v>
      </c>
      <c r="P105">
        <v>8.26</v>
      </c>
      <c r="Q105" t="s">
        <v>46</v>
      </c>
      <c r="R105" t="s">
        <v>52</v>
      </c>
      <c r="S105" t="s">
        <v>53</v>
      </c>
      <c r="T105" t="s">
        <v>46</v>
      </c>
      <c r="U105" t="s">
        <v>54</v>
      </c>
      <c r="V105" t="s">
        <v>55</v>
      </c>
      <c r="W105" t="s">
        <v>198</v>
      </c>
      <c r="X105" t="s">
        <v>355</v>
      </c>
      <c r="Y105">
        <v>1.29</v>
      </c>
      <c r="Z105" t="s">
        <v>46</v>
      </c>
      <c r="AA105" t="s">
        <v>58</v>
      </c>
      <c r="AB105" t="s">
        <v>59</v>
      </c>
      <c r="AC105">
        <v>283</v>
      </c>
      <c r="AD105" t="s">
        <v>46</v>
      </c>
      <c r="AE105" t="s">
        <v>60</v>
      </c>
      <c r="AF105" t="s">
        <v>45</v>
      </c>
      <c r="AG105" t="s">
        <v>46</v>
      </c>
      <c r="AH105" t="s">
        <v>61</v>
      </c>
      <c r="AI105" t="s">
        <v>48</v>
      </c>
      <c r="AJ105" t="s">
        <v>62</v>
      </c>
      <c r="AK105" t="s">
        <v>63</v>
      </c>
      <c r="AL105" t="s">
        <v>376</v>
      </c>
      <c r="AM105" t="s">
        <v>46</v>
      </c>
      <c r="AN105" t="s">
        <v>60</v>
      </c>
      <c r="AO105" t="s">
        <v>62</v>
      </c>
      <c r="AP105" t="s">
        <v>399</v>
      </c>
      <c r="AQ105" t="s">
        <v>66</v>
      </c>
      <c r="AR105" t="s">
        <v>67</v>
      </c>
    </row>
    <row r="106" spans="1:44">
      <c r="A106" s="1">
        <v>45427</v>
      </c>
      <c r="B106" s="2">
        <v>0.23762731481481481</v>
      </c>
      <c r="C106" t="s">
        <v>44</v>
      </c>
      <c r="D106" t="s">
        <v>45</v>
      </c>
      <c r="E106">
        <v>0.55900000000000005</v>
      </c>
      <c r="F106" t="s">
        <v>46</v>
      </c>
      <c r="G106" t="s">
        <v>47</v>
      </c>
      <c r="H106" t="s">
        <v>45</v>
      </c>
      <c r="I106">
        <v>0.30840000000000001</v>
      </c>
      <c r="J106" t="s">
        <v>46</v>
      </c>
      <c r="K106" t="s">
        <v>48</v>
      </c>
      <c r="L106" t="s">
        <v>49</v>
      </c>
      <c r="M106" t="s">
        <v>50</v>
      </c>
      <c r="N106" t="s">
        <v>51</v>
      </c>
      <c r="O106">
        <v>3.45</v>
      </c>
      <c r="P106">
        <v>8.26</v>
      </c>
      <c r="Q106" t="s">
        <v>46</v>
      </c>
      <c r="R106" t="s">
        <v>52</v>
      </c>
      <c r="S106" t="s">
        <v>53</v>
      </c>
      <c r="T106" t="s">
        <v>46</v>
      </c>
      <c r="U106" t="s">
        <v>54</v>
      </c>
      <c r="V106" t="s">
        <v>55</v>
      </c>
      <c r="W106" t="s">
        <v>198</v>
      </c>
      <c r="X106" t="s">
        <v>355</v>
      </c>
      <c r="Y106">
        <v>1.29</v>
      </c>
      <c r="Z106" t="s">
        <v>46</v>
      </c>
      <c r="AA106" t="s">
        <v>58</v>
      </c>
      <c r="AB106" t="s">
        <v>59</v>
      </c>
      <c r="AC106">
        <v>283</v>
      </c>
      <c r="AD106" t="s">
        <v>46</v>
      </c>
      <c r="AE106" t="s">
        <v>60</v>
      </c>
      <c r="AF106" t="s">
        <v>45</v>
      </c>
      <c r="AG106" t="s">
        <v>46</v>
      </c>
      <c r="AH106" t="s">
        <v>61</v>
      </c>
      <c r="AI106" t="s">
        <v>48</v>
      </c>
      <c r="AJ106" t="s">
        <v>62</v>
      </c>
      <c r="AK106" t="s">
        <v>63</v>
      </c>
      <c r="AL106" t="s">
        <v>376</v>
      </c>
      <c r="AM106" t="s">
        <v>46</v>
      </c>
      <c r="AN106" t="s">
        <v>60</v>
      </c>
      <c r="AO106" t="s">
        <v>62</v>
      </c>
      <c r="AP106" t="s">
        <v>400</v>
      </c>
      <c r="AQ106" t="s">
        <v>66</v>
      </c>
      <c r="AR106" t="s">
        <v>67</v>
      </c>
    </row>
    <row r="107" spans="1:44">
      <c r="A107" s="1">
        <v>45427</v>
      </c>
      <c r="B107" s="2">
        <v>0.23768518518518519</v>
      </c>
      <c r="C107" t="s">
        <v>44</v>
      </c>
      <c r="D107" t="s">
        <v>45</v>
      </c>
      <c r="E107">
        <v>0.48499999999999999</v>
      </c>
      <c r="F107" t="s">
        <v>46</v>
      </c>
      <c r="G107" t="s">
        <v>47</v>
      </c>
      <c r="H107" t="s">
        <v>45</v>
      </c>
      <c r="I107">
        <v>0.30840000000000001</v>
      </c>
      <c r="J107" t="s">
        <v>46</v>
      </c>
      <c r="K107" t="s">
        <v>48</v>
      </c>
      <c r="L107" t="s">
        <v>49</v>
      </c>
      <c r="M107" t="s">
        <v>50</v>
      </c>
      <c r="N107" t="s">
        <v>51</v>
      </c>
      <c r="O107">
        <v>3.45</v>
      </c>
      <c r="P107">
        <v>8.26</v>
      </c>
      <c r="Q107" t="s">
        <v>46</v>
      </c>
      <c r="R107" t="s">
        <v>52</v>
      </c>
      <c r="S107" t="s">
        <v>53</v>
      </c>
      <c r="T107" t="s">
        <v>46</v>
      </c>
      <c r="U107" t="s">
        <v>54</v>
      </c>
      <c r="V107" t="s">
        <v>55</v>
      </c>
      <c r="W107" t="s">
        <v>114</v>
      </c>
      <c r="X107" t="s">
        <v>355</v>
      </c>
      <c r="Y107">
        <v>1.29</v>
      </c>
      <c r="Z107" t="s">
        <v>46</v>
      </c>
      <c r="AA107" t="s">
        <v>58</v>
      </c>
      <c r="AB107" t="s">
        <v>59</v>
      </c>
      <c r="AC107">
        <v>283</v>
      </c>
      <c r="AD107" t="s">
        <v>46</v>
      </c>
      <c r="AE107" t="s">
        <v>60</v>
      </c>
      <c r="AF107" t="s">
        <v>45</v>
      </c>
      <c r="AG107" t="s">
        <v>46</v>
      </c>
      <c r="AH107" t="s">
        <v>61</v>
      </c>
      <c r="AI107" t="s">
        <v>48</v>
      </c>
      <c r="AJ107" t="s">
        <v>62</v>
      </c>
      <c r="AK107" t="s">
        <v>63</v>
      </c>
      <c r="AL107" t="s">
        <v>376</v>
      </c>
      <c r="AM107" t="s">
        <v>46</v>
      </c>
      <c r="AN107" t="s">
        <v>60</v>
      </c>
      <c r="AO107" t="s">
        <v>62</v>
      </c>
      <c r="AP107" t="s">
        <v>401</v>
      </c>
      <c r="AQ107" t="s">
        <v>66</v>
      </c>
      <c r="AR107" t="s">
        <v>67</v>
      </c>
    </row>
    <row r="108" spans="1:44">
      <c r="A108" s="1">
        <v>45427</v>
      </c>
      <c r="B108" s="2">
        <v>0.23773148148148149</v>
      </c>
      <c r="C108" t="s">
        <v>44</v>
      </c>
      <c r="D108" t="s">
        <v>45</v>
      </c>
      <c r="E108">
        <v>0.90900000000000003</v>
      </c>
      <c r="F108" t="s">
        <v>46</v>
      </c>
      <c r="G108" t="s">
        <v>47</v>
      </c>
      <c r="H108" t="s">
        <v>45</v>
      </c>
      <c r="I108">
        <v>0.30830000000000002</v>
      </c>
      <c r="J108" t="s">
        <v>46</v>
      </c>
      <c r="K108" t="s">
        <v>48</v>
      </c>
      <c r="L108" t="s">
        <v>49</v>
      </c>
      <c r="M108" t="s">
        <v>50</v>
      </c>
      <c r="N108" t="s">
        <v>51</v>
      </c>
      <c r="O108">
        <v>3.45</v>
      </c>
      <c r="P108">
        <v>8.26</v>
      </c>
      <c r="Q108" t="s">
        <v>46</v>
      </c>
      <c r="R108" t="s">
        <v>52</v>
      </c>
      <c r="S108" t="s">
        <v>53</v>
      </c>
      <c r="T108" t="s">
        <v>46</v>
      </c>
      <c r="U108" t="s">
        <v>54</v>
      </c>
      <c r="V108" t="s">
        <v>55</v>
      </c>
      <c r="W108" t="s">
        <v>305</v>
      </c>
      <c r="X108" t="s">
        <v>355</v>
      </c>
      <c r="Y108">
        <v>1.29</v>
      </c>
      <c r="Z108" t="s">
        <v>46</v>
      </c>
      <c r="AA108" t="s">
        <v>58</v>
      </c>
      <c r="AB108" t="s">
        <v>59</v>
      </c>
      <c r="AC108">
        <v>283</v>
      </c>
      <c r="AD108" t="s">
        <v>46</v>
      </c>
      <c r="AE108" t="s">
        <v>60</v>
      </c>
      <c r="AF108" t="s">
        <v>45</v>
      </c>
      <c r="AG108" t="s">
        <v>46</v>
      </c>
      <c r="AH108" t="s">
        <v>61</v>
      </c>
      <c r="AI108" t="s">
        <v>48</v>
      </c>
      <c r="AJ108" t="s">
        <v>62</v>
      </c>
      <c r="AK108" t="s">
        <v>63</v>
      </c>
      <c r="AL108" t="s">
        <v>376</v>
      </c>
      <c r="AM108" t="s">
        <v>46</v>
      </c>
      <c r="AN108" t="s">
        <v>60</v>
      </c>
      <c r="AO108" t="s">
        <v>62</v>
      </c>
      <c r="AP108" t="s">
        <v>402</v>
      </c>
      <c r="AQ108" t="s">
        <v>66</v>
      </c>
      <c r="AR108" t="s">
        <v>67</v>
      </c>
    </row>
    <row r="109" spans="1:44">
      <c r="A109" s="1">
        <v>45427</v>
      </c>
      <c r="B109" s="2">
        <v>0.23777777777777778</v>
      </c>
      <c r="C109" t="s">
        <v>44</v>
      </c>
      <c r="D109" t="s">
        <v>45</v>
      </c>
      <c r="E109">
        <v>0.57599999999999996</v>
      </c>
      <c r="F109" t="s">
        <v>46</v>
      </c>
      <c r="G109" t="s">
        <v>47</v>
      </c>
      <c r="H109" t="s">
        <v>45</v>
      </c>
      <c r="I109">
        <v>0.30830000000000002</v>
      </c>
      <c r="J109" t="s">
        <v>46</v>
      </c>
      <c r="K109" t="s">
        <v>48</v>
      </c>
      <c r="L109" t="s">
        <v>49</v>
      </c>
      <c r="M109" t="s">
        <v>50</v>
      </c>
      <c r="N109" t="s">
        <v>51</v>
      </c>
      <c r="O109">
        <v>3.45</v>
      </c>
      <c r="P109">
        <v>8.26</v>
      </c>
      <c r="Q109" t="s">
        <v>46</v>
      </c>
      <c r="R109" t="s">
        <v>52</v>
      </c>
      <c r="S109" t="s">
        <v>53</v>
      </c>
      <c r="T109" t="s">
        <v>46</v>
      </c>
      <c r="U109" t="s">
        <v>54</v>
      </c>
      <c r="V109" t="s">
        <v>55</v>
      </c>
      <c r="W109" t="s">
        <v>403</v>
      </c>
      <c r="X109" t="s">
        <v>335</v>
      </c>
      <c r="Y109">
        <v>1.29</v>
      </c>
      <c r="Z109" t="s">
        <v>46</v>
      </c>
      <c r="AA109" t="s">
        <v>58</v>
      </c>
      <c r="AB109" t="s">
        <v>59</v>
      </c>
      <c r="AC109">
        <v>283</v>
      </c>
      <c r="AD109" t="s">
        <v>46</v>
      </c>
      <c r="AE109" t="s">
        <v>60</v>
      </c>
      <c r="AF109" t="s">
        <v>45</v>
      </c>
      <c r="AG109" t="s">
        <v>46</v>
      </c>
      <c r="AH109" t="s">
        <v>61</v>
      </c>
      <c r="AI109" t="s">
        <v>48</v>
      </c>
      <c r="AJ109" t="s">
        <v>62</v>
      </c>
      <c r="AK109" t="s">
        <v>63</v>
      </c>
      <c r="AL109" t="s">
        <v>376</v>
      </c>
      <c r="AM109" t="s">
        <v>46</v>
      </c>
      <c r="AN109" t="s">
        <v>60</v>
      </c>
      <c r="AO109" t="s">
        <v>62</v>
      </c>
      <c r="AP109" t="s">
        <v>404</v>
      </c>
      <c r="AQ109" t="s">
        <v>66</v>
      </c>
      <c r="AR109" t="s">
        <v>67</v>
      </c>
    </row>
    <row r="110" spans="1:44">
      <c r="A110" s="1">
        <v>45427</v>
      </c>
      <c r="B110" s="2">
        <v>0.23782407407407408</v>
      </c>
      <c r="C110" t="s">
        <v>44</v>
      </c>
      <c r="D110" t="s">
        <v>45</v>
      </c>
      <c r="E110">
        <v>0.53100000000000003</v>
      </c>
      <c r="F110" t="s">
        <v>46</v>
      </c>
      <c r="G110" t="s">
        <v>47</v>
      </c>
      <c r="H110" t="s">
        <v>45</v>
      </c>
      <c r="I110">
        <v>0.30840000000000001</v>
      </c>
      <c r="J110" t="s">
        <v>46</v>
      </c>
      <c r="K110" t="s">
        <v>48</v>
      </c>
      <c r="L110" t="s">
        <v>49</v>
      </c>
      <c r="M110" t="s">
        <v>50</v>
      </c>
      <c r="N110" t="s">
        <v>51</v>
      </c>
      <c r="O110">
        <v>3.45</v>
      </c>
      <c r="P110">
        <v>8.26</v>
      </c>
      <c r="Q110" t="s">
        <v>46</v>
      </c>
      <c r="R110" t="s">
        <v>52</v>
      </c>
      <c r="S110" t="s">
        <v>53</v>
      </c>
      <c r="T110" t="s">
        <v>46</v>
      </c>
      <c r="U110" t="s">
        <v>54</v>
      </c>
      <c r="V110" t="s">
        <v>55</v>
      </c>
      <c r="W110" t="s">
        <v>405</v>
      </c>
      <c r="X110" t="s">
        <v>335</v>
      </c>
      <c r="Y110">
        <v>1.28</v>
      </c>
      <c r="Z110" t="s">
        <v>46</v>
      </c>
      <c r="AA110" t="s">
        <v>58</v>
      </c>
      <c r="AB110" t="s">
        <v>59</v>
      </c>
      <c r="AC110">
        <v>283</v>
      </c>
      <c r="AD110" t="s">
        <v>46</v>
      </c>
      <c r="AE110" t="s">
        <v>60</v>
      </c>
      <c r="AF110" t="s">
        <v>45</v>
      </c>
      <c r="AG110" t="s">
        <v>46</v>
      </c>
      <c r="AH110" t="s">
        <v>61</v>
      </c>
      <c r="AI110" t="s">
        <v>48</v>
      </c>
      <c r="AJ110" t="s">
        <v>62</v>
      </c>
      <c r="AK110" t="s">
        <v>63</v>
      </c>
      <c r="AL110" t="s">
        <v>376</v>
      </c>
      <c r="AM110" t="s">
        <v>46</v>
      </c>
      <c r="AN110" t="s">
        <v>60</v>
      </c>
      <c r="AO110" t="s">
        <v>62</v>
      </c>
      <c r="AP110" t="s">
        <v>406</v>
      </c>
      <c r="AQ110" t="s">
        <v>66</v>
      </c>
      <c r="AR110" t="s">
        <v>67</v>
      </c>
    </row>
    <row r="111" spans="1:44">
      <c r="A111" s="1">
        <v>45427</v>
      </c>
      <c r="B111" s="2">
        <v>0.23788194444444444</v>
      </c>
      <c r="C111" t="s">
        <v>44</v>
      </c>
      <c r="D111" t="s">
        <v>45</v>
      </c>
      <c r="E111">
        <v>0.67600000000000005</v>
      </c>
      <c r="F111" t="s">
        <v>46</v>
      </c>
      <c r="G111" t="s">
        <v>47</v>
      </c>
      <c r="H111" t="s">
        <v>45</v>
      </c>
      <c r="I111">
        <v>0.30840000000000001</v>
      </c>
      <c r="J111" t="s">
        <v>46</v>
      </c>
      <c r="K111" t="s">
        <v>48</v>
      </c>
      <c r="L111" t="s">
        <v>49</v>
      </c>
      <c r="M111" t="s">
        <v>50</v>
      </c>
      <c r="N111" t="s">
        <v>51</v>
      </c>
      <c r="O111">
        <v>3.45</v>
      </c>
      <c r="P111">
        <v>8.26</v>
      </c>
      <c r="Q111" t="s">
        <v>46</v>
      </c>
      <c r="R111" t="s">
        <v>52</v>
      </c>
      <c r="S111" t="s">
        <v>53</v>
      </c>
      <c r="T111" t="s">
        <v>46</v>
      </c>
      <c r="U111" t="s">
        <v>54</v>
      </c>
      <c r="V111" t="s">
        <v>55</v>
      </c>
      <c r="W111" t="s">
        <v>106</v>
      </c>
      <c r="X111" t="s">
        <v>335</v>
      </c>
      <c r="Y111">
        <v>1.28</v>
      </c>
      <c r="Z111" t="s">
        <v>46</v>
      </c>
      <c r="AA111" t="s">
        <v>58</v>
      </c>
      <c r="AB111" t="s">
        <v>59</v>
      </c>
      <c r="AC111">
        <v>283</v>
      </c>
      <c r="AD111" t="s">
        <v>46</v>
      </c>
      <c r="AE111" t="s">
        <v>60</v>
      </c>
      <c r="AF111" t="s">
        <v>45</v>
      </c>
      <c r="AG111" t="s">
        <v>46</v>
      </c>
      <c r="AH111" t="s">
        <v>61</v>
      </c>
      <c r="AI111" t="s">
        <v>48</v>
      </c>
      <c r="AJ111" t="s">
        <v>62</v>
      </c>
      <c r="AK111" t="s">
        <v>63</v>
      </c>
      <c r="AL111" t="s">
        <v>376</v>
      </c>
      <c r="AM111" t="s">
        <v>46</v>
      </c>
      <c r="AN111" t="s">
        <v>60</v>
      </c>
      <c r="AO111" t="s">
        <v>62</v>
      </c>
      <c r="AP111" t="s">
        <v>407</v>
      </c>
      <c r="AQ111" t="s">
        <v>66</v>
      </c>
      <c r="AR111" t="s">
        <v>67</v>
      </c>
    </row>
    <row r="112" spans="1:44">
      <c r="A112" s="1">
        <v>45427</v>
      </c>
      <c r="B112" s="2">
        <v>0.23792824074074073</v>
      </c>
      <c r="C112" t="s">
        <v>44</v>
      </c>
      <c r="D112" t="s">
        <v>45</v>
      </c>
      <c r="E112">
        <v>0.48499999999999999</v>
      </c>
      <c r="F112" t="s">
        <v>46</v>
      </c>
      <c r="G112" t="s">
        <v>47</v>
      </c>
      <c r="H112" t="s">
        <v>45</v>
      </c>
      <c r="I112">
        <v>0.3085</v>
      </c>
      <c r="J112" t="s">
        <v>46</v>
      </c>
      <c r="K112" t="s">
        <v>48</v>
      </c>
      <c r="L112" t="s">
        <v>49</v>
      </c>
      <c r="M112" t="s">
        <v>50</v>
      </c>
      <c r="N112" t="s">
        <v>51</v>
      </c>
      <c r="O112">
        <v>3.45</v>
      </c>
      <c r="P112">
        <v>8.26</v>
      </c>
      <c r="Q112" t="s">
        <v>46</v>
      </c>
      <c r="R112" t="s">
        <v>52</v>
      </c>
      <c r="S112" t="s">
        <v>53</v>
      </c>
      <c r="T112" t="s">
        <v>46</v>
      </c>
      <c r="U112" t="s">
        <v>54</v>
      </c>
      <c r="V112" t="s">
        <v>55</v>
      </c>
      <c r="W112" t="s">
        <v>317</v>
      </c>
      <c r="X112" t="s">
        <v>335</v>
      </c>
      <c r="Y112">
        <v>1.28</v>
      </c>
      <c r="Z112" t="s">
        <v>46</v>
      </c>
      <c r="AA112" t="s">
        <v>58</v>
      </c>
      <c r="AB112" t="s">
        <v>59</v>
      </c>
      <c r="AC112">
        <v>283</v>
      </c>
      <c r="AD112" t="s">
        <v>46</v>
      </c>
      <c r="AE112" t="s">
        <v>60</v>
      </c>
      <c r="AF112" t="s">
        <v>45</v>
      </c>
      <c r="AG112" t="s">
        <v>46</v>
      </c>
      <c r="AH112" t="s">
        <v>61</v>
      </c>
      <c r="AI112" t="s">
        <v>48</v>
      </c>
      <c r="AJ112" t="s">
        <v>62</v>
      </c>
      <c r="AK112" t="s">
        <v>63</v>
      </c>
      <c r="AL112" t="s">
        <v>376</v>
      </c>
      <c r="AM112" t="s">
        <v>46</v>
      </c>
      <c r="AN112" t="s">
        <v>60</v>
      </c>
      <c r="AO112" t="s">
        <v>62</v>
      </c>
      <c r="AP112" t="s">
        <v>408</v>
      </c>
      <c r="AQ112" t="s">
        <v>66</v>
      </c>
      <c r="AR112" t="s">
        <v>67</v>
      </c>
    </row>
    <row r="113" spans="1:44">
      <c r="A113" s="1">
        <v>45427</v>
      </c>
      <c r="B113" s="2">
        <v>0.23797453703703703</v>
      </c>
      <c r="C113" t="s">
        <v>44</v>
      </c>
      <c r="D113" t="s">
        <v>45</v>
      </c>
      <c r="E113">
        <v>0.51500000000000001</v>
      </c>
      <c r="F113" t="s">
        <v>46</v>
      </c>
      <c r="G113" t="s">
        <v>47</v>
      </c>
      <c r="H113" t="s">
        <v>45</v>
      </c>
      <c r="I113">
        <v>0.30830000000000002</v>
      </c>
      <c r="J113" t="s">
        <v>46</v>
      </c>
      <c r="K113" t="s">
        <v>48</v>
      </c>
      <c r="L113" t="s">
        <v>49</v>
      </c>
      <c r="M113" t="s">
        <v>50</v>
      </c>
      <c r="N113" t="s">
        <v>51</v>
      </c>
      <c r="O113">
        <v>3.45</v>
      </c>
      <c r="P113">
        <v>8.26</v>
      </c>
      <c r="Q113" t="s">
        <v>46</v>
      </c>
      <c r="R113" t="s">
        <v>52</v>
      </c>
      <c r="S113" t="s">
        <v>53</v>
      </c>
      <c r="T113" t="s">
        <v>46</v>
      </c>
      <c r="U113" t="s">
        <v>54</v>
      </c>
      <c r="V113" t="s">
        <v>55</v>
      </c>
      <c r="W113" t="s">
        <v>317</v>
      </c>
      <c r="X113" t="s">
        <v>335</v>
      </c>
      <c r="Y113">
        <v>1.28</v>
      </c>
      <c r="Z113" t="s">
        <v>46</v>
      </c>
      <c r="AA113" t="s">
        <v>58</v>
      </c>
      <c r="AB113" t="s">
        <v>59</v>
      </c>
      <c r="AC113">
        <v>283</v>
      </c>
      <c r="AD113" t="s">
        <v>46</v>
      </c>
      <c r="AE113" t="s">
        <v>60</v>
      </c>
      <c r="AF113" t="s">
        <v>45</v>
      </c>
      <c r="AG113" t="s">
        <v>46</v>
      </c>
      <c r="AH113" t="s">
        <v>61</v>
      </c>
      <c r="AI113" t="s">
        <v>48</v>
      </c>
      <c r="AJ113" t="s">
        <v>62</v>
      </c>
      <c r="AK113" t="s">
        <v>63</v>
      </c>
      <c r="AL113" t="s">
        <v>376</v>
      </c>
      <c r="AM113" t="s">
        <v>46</v>
      </c>
      <c r="AN113" t="s">
        <v>60</v>
      </c>
      <c r="AO113" t="s">
        <v>62</v>
      </c>
      <c r="AP113" t="s">
        <v>409</v>
      </c>
      <c r="AQ113" t="s">
        <v>66</v>
      </c>
      <c r="AR113" t="s">
        <v>67</v>
      </c>
    </row>
    <row r="114" spans="1:44">
      <c r="A114" s="1">
        <v>45427</v>
      </c>
      <c r="B114" s="2">
        <v>0.23802083333333332</v>
      </c>
      <c r="C114" t="s">
        <v>44</v>
      </c>
      <c r="D114" t="s">
        <v>45</v>
      </c>
      <c r="E114">
        <v>0.92100000000000004</v>
      </c>
      <c r="F114" t="s">
        <v>46</v>
      </c>
      <c r="G114" t="s">
        <v>47</v>
      </c>
      <c r="H114" t="s">
        <v>45</v>
      </c>
      <c r="I114">
        <v>0.30859999999999999</v>
      </c>
      <c r="J114" t="s">
        <v>46</v>
      </c>
      <c r="K114" t="s">
        <v>48</v>
      </c>
      <c r="L114" t="s">
        <v>49</v>
      </c>
      <c r="M114" t="s">
        <v>50</v>
      </c>
      <c r="N114" t="s">
        <v>51</v>
      </c>
      <c r="O114">
        <v>3.45</v>
      </c>
      <c r="P114">
        <v>8.26</v>
      </c>
      <c r="Q114" t="s">
        <v>46</v>
      </c>
      <c r="R114" t="s">
        <v>52</v>
      </c>
      <c r="S114" t="s">
        <v>53</v>
      </c>
      <c r="T114" t="s">
        <v>46</v>
      </c>
      <c r="U114" t="s">
        <v>54</v>
      </c>
      <c r="V114" t="s">
        <v>55</v>
      </c>
      <c r="W114" t="s">
        <v>92</v>
      </c>
      <c r="X114" t="s">
        <v>335</v>
      </c>
      <c r="Y114">
        <v>1.28</v>
      </c>
      <c r="Z114" t="s">
        <v>46</v>
      </c>
      <c r="AA114" t="s">
        <v>58</v>
      </c>
      <c r="AB114" t="s">
        <v>59</v>
      </c>
      <c r="AC114">
        <v>284</v>
      </c>
      <c r="AD114" t="s">
        <v>46</v>
      </c>
      <c r="AE114" t="s">
        <v>60</v>
      </c>
      <c r="AF114" t="s">
        <v>45</v>
      </c>
      <c r="AG114" t="s">
        <v>46</v>
      </c>
      <c r="AH114" t="s">
        <v>61</v>
      </c>
      <c r="AI114" t="s">
        <v>48</v>
      </c>
      <c r="AJ114" t="s">
        <v>62</v>
      </c>
      <c r="AK114" t="s">
        <v>63</v>
      </c>
      <c r="AL114" t="s">
        <v>376</v>
      </c>
      <c r="AM114" t="s">
        <v>46</v>
      </c>
      <c r="AN114" t="s">
        <v>60</v>
      </c>
      <c r="AO114" t="s">
        <v>62</v>
      </c>
      <c r="AP114" t="s">
        <v>410</v>
      </c>
      <c r="AQ114" t="s">
        <v>66</v>
      </c>
      <c r="AR114" t="s">
        <v>67</v>
      </c>
    </row>
    <row r="115" spans="1:44">
      <c r="A115" s="1">
        <v>45427</v>
      </c>
      <c r="B115" s="2">
        <v>0.23807870370370371</v>
      </c>
      <c r="C115" t="s">
        <v>44</v>
      </c>
      <c r="D115" t="s">
        <v>45</v>
      </c>
      <c r="E115">
        <v>0.53100000000000003</v>
      </c>
      <c r="F115" t="s">
        <v>46</v>
      </c>
      <c r="G115" t="s">
        <v>47</v>
      </c>
      <c r="H115" t="s">
        <v>45</v>
      </c>
      <c r="I115">
        <v>0.3085</v>
      </c>
      <c r="J115" t="s">
        <v>46</v>
      </c>
      <c r="K115" t="s">
        <v>48</v>
      </c>
      <c r="L115" t="s">
        <v>49</v>
      </c>
      <c r="M115" t="s">
        <v>50</v>
      </c>
      <c r="N115" t="s">
        <v>51</v>
      </c>
      <c r="O115">
        <v>3.45</v>
      </c>
      <c r="P115">
        <v>8.26</v>
      </c>
      <c r="Q115" t="s">
        <v>46</v>
      </c>
      <c r="R115" t="s">
        <v>52</v>
      </c>
      <c r="S115" t="s">
        <v>53</v>
      </c>
      <c r="T115" t="s">
        <v>46</v>
      </c>
      <c r="U115" t="s">
        <v>54</v>
      </c>
      <c r="V115" t="s">
        <v>55</v>
      </c>
      <c r="W115" t="s">
        <v>114</v>
      </c>
      <c r="X115" t="s">
        <v>355</v>
      </c>
      <c r="Y115">
        <v>1.28</v>
      </c>
      <c r="Z115" t="s">
        <v>46</v>
      </c>
      <c r="AA115" t="s">
        <v>58</v>
      </c>
      <c r="AB115" t="s">
        <v>59</v>
      </c>
      <c r="AC115">
        <v>283</v>
      </c>
      <c r="AD115" t="s">
        <v>46</v>
      </c>
      <c r="AE115" t="s">
        <v>60</v>
      </c>
      <c r="AF115" t="s">
        <v>45</v>
      </c>
      <c r="AG115" t="s">
        <v>46</v>
      </c>
      <c r="AH115" t="s">
        <v>61</v>
      </c>
      <c r="AI115" t="s">
        <v>48</v>
      </c>
      <c r="AJ115" t="s">
        <v>62</v>
      </c>
      <c r="AK115" t="s">
        <v>63</v>
      </c>
      <c r="AL115" t="s">
        <v>376</v>
      </c>
      <c r="AM115" t="s">
        <v>46</v>
      </c>
      <c r="AN115" t="s">
        <v>60</v>
      </c>
      <c r="AO115" t="s">
        <v>62</v>
      </c>
      <c r="AP115" t="s">
        <v>411</v>
      </c>
      <c r="AQ115" t="s">
        <v>66</v>
      </c>
      <c r="AR115" t="s">
        <v>67</v>
      </c>
    </row>
    <row r="116" spans="1:44">
      <c r="A116" s="1">
        <v>45427</v>
      </c>
      <c r="B116" s="2">
        <v>0.238125</v>
      </c>
      <c r="C116" t="s">
        <v>44</v>
      </c>
      <c r="D116" t="s">
        <v>45</v>
      </c>
      <c r="E116">
        <v>0.51500000000000001</v>
      </c>
      <c r="F116" t="s">
        <v>46</v>
      </c>
      <c r="G116" t="s">
        <v>47</v>
      </c>
      <c r="H116" t="s">
        <v>45</v>
      </c>
      <c r="I116">
        <v>0.30819999999999997</v>
      </c>
      <c r="J116" t="s">
        <v>46</v>
      </c>
      <c r="K116" t="s">
        <v>48</v>
      </c>
      <c r="L116" t="s">
        <v>49</v>
      </c>
      <c r="M116" t="s">
        <v>50</v>
      </c>
      <c r="N116" t="s">
        <v>51</v>
      </c>
      <c r="O116">
        <v>3.45</v>
      </c>
      <c r="P116">
        <v>8.26</v>
      </c>
      <c r="Q116" t="s">
        <v>46</v>
      </c>
      <c r="R116" t="s">
        <v>52</v>
      </c>
      <c r="S116" t="s">
        <v>53</v>
      </c>
      <c r="T116" t="s">
        <v>46</v>
      </c>
      <c r="U116" t="s">
        <v>54</v>
      </c>
      <c r="V116" t="s">
        <v>55</v>
      </c>
      <c r="W116" t="s">
        <v>305</v>
      </c>
      <c r="X116" t="s">
        <v>355</v>
      </c>
      <c r="Y116">
        <v>1.28</v>
      </c>
      <c r="Z116" t="s">
        <v>46</v>
      </c>
      <c r="AA116" t="s">
        <v>58</v>
      </c>
      <c r="AB116" t="s">
        <v>59</v>
      </c>
      <c r="AC116">
        <v>283</v>
      </c>
      <c r="AD116" t="s">
        <v>46</v>
      </c>
      <c r="AE116" t="s">
        <v>60</v>
      </c>
      <c r="AF116" t="s">
        <v>45</v>
      </c>
      <c r="AG116" t="s">
        <v>46</v>
      </c>
      <c r="AH116" t="s">
        <v>61</v>
      </c>
      <c r="AI116" t="s">
        <v>48</v>
      </c>
      <c r="AJ116" t="s">
        <v>62</v>
      </c>
      <c r="AK116" t="s">
        <v>63</v>
      </c>
      <c r="AL116" t="s">
        <v>376</v>
      </c>
      <c r="AM116" t="s">
        <v>46</v>
      </c>
      <c r="AN116" t="s">
        <v>60</v>
      </c>
      <c r="AO116" t="s">
        <v>62</v>
      </c>
      <c r="AP116" t="s">
        <v>412</v>
      </c>
      <c r="AQ116" t="s">
        <v>66</v>
      </c>
      <c r="AR116" t="s">
        <v>67</v>
      </c>
    </row>
    <row r="117" spans="1:44">
      <c r="A117" s="1">
        <v>45427</v>
      </c>
      <c r="B117" s="2">
        <v>0.2381712962962963</v>
      </c>
      <c r="C117" t="s">
        <v>44</v>
      </c>
      <c r="D117" t="s">
        <v>45</v>
      </c>
      <c r="E117">
        <v>0.69399999999999995</v>
      </c>
      <c r="F117" t="s">
        <v>46</v>
      </c>
      <c r="G117" t="s">
        <v>47</v>
      </c>
      <c r="H117" t="s">
        <v>45</v>
      </c>
      <c r="I117">
        <v>0.30819999999999997</v>
      </c>
      <c r="J117" t="s">
        <v>46</v>
      </c>
      <c r="K117" t="s">
        <v>48</v>
      </c>
      <c r="L117" t="s">
        <v>49</v>
      </c>
      <c r="M117" t="s">
        <v>50</v>
      </c>
      <c r="N117" t="s">
        <v>51</v>
      </c>
      <c r="O117">
        <v>3.45</v>
      </c>
      <c r="P117">
        <v>8.26</v>
      </c>
      <c r="Q117" t="s">
        <v>46</v>
      </c>
      <c r="R117" t="s">
        <v>52</v>
      </c>
      <c r="S117" t="s">
        <v>53</v>
      </c>
      <c r="T117" t="s">
        <v>46</v>
      </c>
      <c r="U117" t="s">
        <v>54</v>
      </c>
      <c r="V117" t="s">
        <v>55</v>
      </c>
      <c r="W117" t="s">
        <v>116</v>
      </c>
      <c r="X117" t="s">
        <v>355</v>
      </c>
      <c r="Y117">
        <v>1.28</v>
      </c>
      <c r="Z117" t="s">
        <v>46</v>
      </c>
      <c r="AA117" t="s">
        <v>58</v>
      </c>
      <c r="AB117" t="s">
        <v>59</v>
      </c>
      <c r="AC117">
        <v>283</v>
      </c>
      <c r="AD117" t="s">
        <v>46</v>
      </c>
      <c r="AE117" t="s">
        <v>60</v>
      </c>
      <c r="AF117" t="s">
        <v>45</v>
      </c>
      <c r="AG117" t="s">
        <v>46</v>
      </c>
      <c r="AH117" t="s">
        <v>61</v>
      </c>
      <c r="AI117" t="s">
        <v>48</v>
      </c>
      <c r="AJ117" t="s">
        <v>62</v>
      </c>
      <c r="AK117" t="s">
        <v>63</v>
      </c>
      <c r="AL117" t="s">
        <v>376</v>
      </c>
      <c r="AM117" t="s">
        <v>46</v>
      </c>
      <c r="AN117" t="s">
        <v>60</v>
      </c>
      <c r="AO117" t="s">
        <v>62</v>
      </c>
      <c r="AP117" t="s">
        <v>413</v>
      </c>
      <c r="AQ117" t="s">
        <v>66</v>
      </c>
      <c r="AR117" t="s">
        <v>67</v>
      </c>
    </row>
    <row r="118" spans="1:44">
      <c r="A118" s="1">
        <v>45427</v>
      </c>
      <c r="B118" s="2">
        <v>0.23821759259259259</v>
      </c>
      <c r="C118" t="s">
        <v>44</v>
      </c>
      <c r="D118" t="s">
        <v>45</v>
      </c>
      <c r="E118">
        <v>0.5</v>
      </c>
      <c r="F118" t="s">
        <v>46</v>
      </c>
      <c r="G118" t="s">
        <v>47</v>
      </c>
      <c r="H118" t="s">
        <v>45</v>
      </c>
      <c r="I118">
        <v>0.30830000000000002</v>
      </c>
      <c r="J118" t="s">
        <v>46</v>
      </c>
      <c r="K118" t="s">
        <v>48</v>
      </c>
      <c r="L118" t="s">
        <v>49</v>
      </c>
      <c r="M118" t="s">
        <v>50</v>
      </c>
      <c r="N118" t="s">
        <v>51</v>
      </c>
      <c r="O118">
        <v>3.45</v>
      </c>
      <c r="P118">
        <v>8.26</v>
      </c>
      <c r="Q118" t="s">
        <v>46</v>
      </c>
      <c r="R118" t="s">
        <v>52</v>
      </c>
      <c r="S118" t="s">
        <v>53</v>
      </c>
      <c r="T118" t="s">
        <v>46</v>
      </c>
      <c r="U118" t="s">
        <v>54</v>
      </c>
      <c r="V118" t="s">
        <v>55</v>
      </c>
      <c r="W118" t="s">
        <v>403</v>
      </c>
      <c r="X118" t="s">
        <v>355</v>
      </c>
      <c r="Y118">
        <v>1.28</v>
      </c>
      <c r="Z118" t="s">
        <v>46</v>
      </c>
      <c r="AA118" t="s">
        <v>58</v>
      </c>
      <c r="AB118" t="s">
        <v>59</v>
      </c>
      <c r="AC118">
        <v>283</v>
      </c>
      <c r="AD118" t="s">
        <v>46</v>
      </c>
      <c r="AE118" t="s">
        <v>60</v>
      </c>
      <c r="AF118" t="s">
        <v>45</v>
      </c>
      <c r="AG118" t="s">
        <v>46</v>
      </c>
      <c r="AH118" t="s">
        <v>61</v>
      </c>
      <c r="AI118" t="s">
        <v>48</v>
      </c>
      <c r="AJ118" t="s">
        <v>62</v>
      </c>
      <c r="AK118" t="s">
        <v>63</v>
      </c>
      <c r="AL118" t="s">
        <v>376</v>
      </c>
      <c r="AM118" t="s">
        <v>46</v>
      </c>
      <c r="AN118" t="s">
        <v>60</v>
      </c>
      <c r="AO118" t="s">
        <v>62</v>
      </c>
      <c r="AP118" t="s">
        <v>414</v>
      </c>
      <c r="AQ118" t="s">
        <v>66</v>
      </c>
      <c r="AR118" t="s">
        <v>67</v>
      </c>
    </row>
    <row r="119" spans="1:44">
      <c r="A119" s="1">
        <v>45427</v>
      </c>
      <c r="B119" s="2">
        <v>0.23827546296296295</v>
      </c>
      <c r="C119" t="s">
        <v>44</v>
      </c>
      <c r="D119" t="s">
        <v>45</v>
      </c>
      <c r="E119">
        <v>0.51500000000000001</v>
      </c>
      <c r="F119" t="s">
        <v>46</v>
      </c>
      <c r="G119" t="s">
        <v>47</v>
      </c>
      <c r="H119" t="s">
        <v>45</v>
      </c>
      <c r="I119">
        <v>0.30830000000000002</v>
      </c>
      <c r="J119" t="s">
        <v>46</v>
      </c>
      <c r="K119" t="s">
        <v>48</v>
      </c>
      <c r="L119" t="s">
        <v>49</v>
      </c>
      <c r="M119" t="s">
        <v>50</v>
      </c>
      <c r="N119" t="s">
        <v>51</v>
      </c>
      <c r="O119">
        <v>3.45</v>
      </c>
      <c r="P119">
        <v>8.26</v>
      </c>
      <c r="Q119" t="s">
        <v>46</v>
      </c>
      <c r="R119" t="s">
        <v>52</v>
      </c>
      <c r="S119" t="s">
        <v>53</v>
      </c>
      <c r="T119" t="s">
        <v>46</v>
      </c>
      <c r="U119" t="s">
        <v>54</v>
      </c>
      <c r="V119" t="s">
        <v>55</v>
      </c>
      <c r="W119" t="s">
        <v>403</v>
      </c>
      <c r="X119" t="s">
        <v>355</v>
      </c>
      <c r="Y119">
        <v>1.28</v>
      </c>
      <c r="Z119" t="s">
        <v>46</v>
      </c>
      <c r="AA119" t="s">
        <v>58</v>
      </c>
      <c r="AB119" t="s">
        <v>59</v>
      </c>
      <c r="AC119">
        <v>283</v>
      </c>
      <c r="AD119" t="s">
        <v>46</v>
      </c>
      <c r="AE119" t="s">
        <v>60</v>
      </c>
      <c r="AF119" t="s">
        <v>45</v>
      </c>
      <c r="AG119" t="s">
        <v>46</v>
      </c>
      <c r="AH119" t="s">
        <v>61</v>
      </c>
      <c r="AI119" t="s">
        <v>48</v>
      </c>
      <c r="AJ119" t="s">
        <v>62</v>
      </c>
      <c r="AK119" t="s">
        <v>63</v>
      </c>
      <c r="AL119" t="s">
        <v>376</v>
      </c>
      <c r="AM119" t="s">
        <v>46</v>
      </c>
      <c r="AN119" t="s">
        <v>60</v>
      </c>
      <c r="AO119" t="s">
        <v>62</v>
      </c>
      <c r="AP119" t="s">
        <v>415</v>
      </c>
      <c r="AQ119" t="s">
        <v>66</v>
      </c>
      <c r="AR119" t="s">
        <v>67</v>
      </c>
    </row>
    <row r="120" spans="1:44">
      <c r="A120" s="1">
        <v>45427</v>
      </c>
      <c r="B120" s="2">
        <v>0.23832175925925925</v>
      </c>
      <c r="C120" t="s">
        <v>44</v>
      </c>
      <c r="D120" t="s">
        <v>45</v>
      </c>
      <c r="E120">
        <v>0.66700000000000004</v>
      </c>
      <c r="F120" t="s">
        <v>46</v>
      </c>
      <c r="G120" t="s">
        <v>47</v>
      </c>
      <c r="H120" t="s">
        <v>45</v>
      </c>
      <c r="I120">
        <v>0.30819999999999997</v>
      </c>
      <c r="J120" t="s">
        <v>46</v>
      </c>
      <c r="K120" t="s">
        <v>48</v>
      </c>
      <c r="L120" t="s">
        <v>49</v>
      </c>
      <c r="M120" t="s">
        <v>50</v>
      </c>
      <c r="N120" t="s">
        <v>51</v>
      </c>
      <c r="O120">
        <v>3.45</v>
      </c>
      <c r="P120">
        <v>8.26</v>
      </c>
      <c r="Q120" t="s">
        <v>46</v>
      </c>
      <c r="R120" t="s">
        <v>52</v>
      </c>
      <c r="S120" t="s">
        <v>53</v>
      </c>
      <c r="T120" t="s">
        <v>46</v>
      </c>
      <c r="U120" t="s">
        <v>54</v>
      </c>
      <c r="V120" t="s">
        <v>55</v>
      </c>
      <c r="W120" t="s">
        <v>106</v>
      </c>
      <c r="X120" t="s">
        <v>355</v>
      </c>
      <c r="Y120">
        <v>1.27</v>
      </c>
      <c r="Z120" t="s">
        <v>46</v>
      </c>
      <c r="AA120" t="s">
        <v>58</v>
      </c>
      <c r="AB120" t="s">
        <v>59</v>
      </c>
      <c r="AC120">
        <v>283</v>
      </c>
      <c r="AD120" t="s">
        <v>46</v>
      </c>
      <c r="AE120" t="s">
        <v>60</v>
      </c>
      <c r="AF120" t="s">
        <v>45</v>
      </c>
      <c r="AG120" t="s">
        <v>46</v>
      </c>
      <c r="AH120" t="s">
        <v>61</v>
      </c>
      <c r="AI120" t="s">
        <v>48</v>
      </c>
      <c r="AJ120" t="s">
        <v>62</v>
      </c>
      <c r="AK120" t="s">
        <v>63</v>
      </c>
      <c r="AL120" t="s">
        <v>376</v>
      </c>
      <c r="AM120" t="s">
        <v>46</v>
      </c>
      <c r="AN120" t="s">
        <v>60</v>
      </c>
      <c r="AO120" t="s">
        <v>62</v>
      </c>
      <c r="AP120" t="s">
        <v>416</v>
      </c>
      <c r="AQ120" t="s">
        <v>66</v>
      </c>
      <c r="AR120" t="s">
        <v>67</v>
      </c>
    </row>
    <row r="121" spans="1:44">
      <c r="A121" s="1">
        <v>45427</v>
      </c>
      <c r="B121" s="2">
        <v>0.23836805555555557</v>
      </c>
      <c r="C121" t="s">
        <v>44</v>
      </c>
      <c r="D121" t="s">
        <v>45</v>
      </c>
      <c r="E121">
        <v>0.51500000000000001</v>
      </c>
      <c r="F121" t="s">
        <v>46</v>
      </c>
      <c r="G121" t="s">
        <v>47</v>
      </c>
      <c r="H121" t="s">
        <v>45</v>
      </c>
      <c r="I121">
        <v>0.3085</v>
      </c>
      <c r="J121" t="s">
        <v>46</v>
      </c>
      <c r="K121" t="s">
        <v>48</v>
      </c>
      <c r="L121" t="s">
        <v>49</v>
      </c>
      <c r="M121" t="s">
        <v>50</v>
      </c>
      <c r="N121" t="s">
        <v>51</v>
      </c>
      <c r="O121">
        <v>3.45</v>
      </c>
      <c r="P121">
        <v>8.26</v>
      </c>
      <c r="Q121" t="s">
        <v>46</v>
      </c>
      <c r="R121" t="s">
        <v>52</v>
      </c>
      <c r="S121" t="s">
        <v>53</v>
      </c>
      <c r="T121" t="s">
        <v>46</v>
      </c>
      <c r="U121" t="s">
        <v>54</v>
      </c>
      <c r="V121" t="s">
        <v>55</v>
      </c>
      <c r="W121" t="s">
        <v>317</v>
      </c>
      <c r="X121" t="s">
        <v>355</v>
      </c>
      <c r="Y121">
        <v>1.27</v>
      </c>
      <c r="Z121" t="s">
        <v>46</v>
      </c>
      <c r="AA121" t="s">
        <v>58</v>
      </c>
      <c r="AB121" t="s">
        <v>59</v>
      </c>
      <c r="AC121">
        <v>283</v>
      </c>
      <c r="AD121" t="s">
        <v>46</v>
      </c>
      <c r="AE121" t="s">
        <v>60</v>
      </c>
      <c r="AF121" t="s">
        <v>45</v>
      </c>
      <c r="AG121" t="s">
        <v>46</v>
      </c>
      <c r="AH121" t="s">
        <v>61</v>
      </c>
      <c r="AI121" t="s">
        <v>48</v>
      </c>
      <c r="AJ121" t="s">
        <v>62</v>
      </c>
      <c r="AK121" t="s">
        <v>63</v>
      </c>
      <c r="AL121" t="s">
        <v>376</v>
      </c>
      <c r="AM121" t="s">
        <v>46</v>
      </c>
      <c r="AN121" t="s">
        <v>60</v>
      </c>
      <c r="AO121" t="s">
        <v>62</v>
      </c>
      <c r="AP121" t="s">
        <v>417</v>
      </c>
      <c r="AQ121" t="s">
        <v>66</v>
      </c>
      <c r="AR121" t="s">
        <v>67</v>
      </c>
    </row>
    <row r="122" spans="1:44">
      <c r="A122" s="1">
        <v>45427</v>
      </c>
      <c r="B122" s="2">
        <v>0.23841435185185186</v>
      </c>
      <c r="C122" t="s">
        <v>44</v>
      </c>
      <c r="D122" t="s">
        <v>45</v>
      </c>
      <c r="E122">
        <v>0.93899999999999995</v>
      </c>
      <c r="F122" t="s">
        <v>46</v>
      </c>
      <c r="G122" t="s">
        <v>47</v>
      </c>
      <c r="H122" t="s">
        <v>45</v>
      </c>
      <c r="I122">
        <v>0.30859999999999999</v>
      </c>
      <c r="J122" t="s">
        <v>46</v>
      </c>
      <c r="K122" t="s">
        <v>48</v>
      </c>
      <c r="L122" t="s">
        <v>49</v>
      </c>
      <c r="M122" t="s">
        <v>50</v>
      </c>
      <c r="N122" t="s">
        <v>51</v>
      </c>
      <c r="O122">
        <v>3.45</v>
      </c>
      <c r="P122">
        <v>8.26</v>
      </c>
      <c r="Q122" t="s">
        <v>46</v>
      </c>
      <c r="R122" t="s">
        <v>52</v>
      </c>
      <c r="S122" t="s">
        <v>53</v>
      </c>
      <c r="T122" t="s">
        <v>46</v>
      </c>
      <c r="U122" t="s">
        <v>54</v>
      </c>
      <c r="V122" t="s">
        <v>55</v>
      </c>
      <c r="W122" t="s">
        <v>224</v>
      </c>
      <c r="X122" t="s">
        <v>119</v>
      </c>
      <c r="Y122">
        <v>1.27</v>
      </c>
      <c r="Z122" t="s">
        <v>46</v>
      </c>
      <c r="AA122" t="s">
        <v>58</v>
      </c>
      <c r="AB122" t="s">
        <v>59</v>
      </c>
      <c r="AC122">
        <v>284</v>
      </c>
      <c r="AD122" t="s">
        <v>46</v>
      </c>
      <c r="AE122" t="s">
        <v>60</v>
      </c>
      <c r="AF122" t="s">
        <v>45</v>
      </c>
      <c r="AG122" t="s">
        <v>46</v>
      </c>
      <c r="AH122" t="s">
        <v>61</v>
      </c>
      <c r="AI122" t="s">
        <v>48</v>
      </c>
      <c r="AJ122" t="s">
        <v>62</v>
      </c>
      <c r="AK122" t="s">
        <v>63</v>
      </c>
      <c r="AL122" t="s">
        <v>376</v>
      </c>
      <c r="AM122" t="s">
        <v>46</v>
      </c>
      <c r="AN122" t="s">
        <v>60</v>
      </c>
      <c r="AO122" t="s">
        <v>62</v>
      </c>
      <c r="AP122" t="s">
        <v>418</v>
      </c>
      <c r="AQ122" t="s">
        <v>66</v>
      </c>
      <c r="AR122" t="s">
        <v>67</v>
      </c>
    </row>
    <row r="123" spans="1:44">
      <c r="A123" s="1">
        <v>45427</v>
      </c>
      <c r="B123" s="2">
        <v>0.23846064814814816</v>
      </c>
      <c r="C123" t="s">
        <v>44</v>
      </c>
      <c r="D123" t="s">
        <v>45</v>
      </c>
      <c r="E123">
        <v>0.67700000000000005</v>
      </c>
      <c r="F123" t="s">
        <v>46</v>
      </c>
      <c r="G123" t="s">
        <v>47</v>
      </c>
      <c r="H123" t="s">
        <v>45</v>
      </c>
      <c r="I123">
        <v>0.30819999999999997</v>
      </c>
      <c r="J123" t="s">
        <v>46</v>
      </c>
      <c r="K123" t="s">
        <v>48</v>
      </c>
      <c r="L123" t="s">
        <v>49</v>
      </c>
      <c r="M123" t="s">
        <v>50</v>
      </c>
      <c r="N123" t="s">
        <v>51</v>
      </c>
      <c r="O123">
        <v>3.45</v>
      </c>
      <c r="P123">
        <v>8.26</v>
      </c>
      <c r="Q123" t="s">
        <v>46</v>
      </c>
      <c r="R123" t="s">
        <v>52</v>
      </c>
      <c r="S123" t="s">
        <v>53</v>
      </c>
      <c r="T123" t="s">
        <v>46</v>
      </c>
      <c r="U123" t="s">
        <v>54</v>
      </c>
      <c r="V123" t="s">
        <v>55</v>
      </c>
      <c r="W123" t="s">
        <v>247</v>
      </c>
      <c r="X123" t="s">
        <v>221</v>
      </c>
      <c r="Y123">
        <v>1.26</v>
      </c>
      <c r="Z123" t="s">
        <v>46</v>
      </c>
      <c r="AA123" t="s">
        <v>58</v>
      </c>
      <c r="AB123" t="s">
        <v>59</v>
      </c>
      <c r="AC123">
        <v>283</v>
      </c>
      <c r="AD123" t="s">
        <v>46</v>
      </c>
      <c r="AE123" t="s">
        <v>60</v>
      </c>
      <c r="AF123" t="s">
        <v>45</v>
      </c>
      <c r="AG123" t="s">
        <v>46</v>
      </c>
      <c r="AH123" t="s">
        <v>61</v>
      </c>
      <c r="AI123" t="s">
        <v>48</v>
      </c>
      <c r="AJ123" t="s">
        <v>62</v>
      </c>
      <c r="AK123" t="s">
        <v>63</v>
      </c>
      <c r="AL123" t="s">
        <v>376</v>
      </c>
      <c r="AM123" t="s">
        <v>46</v>
      </c>
      <c r="AN123" t="s">
        <v>60</v>
      </c>
      <c r="AO123" t="s">
        <v>62</v>
      </c>
      <c r="AP123" t="s">
        <v>419</v>
      </c>
      <c r="AQ123" t="s">
        <v>66</v>
      </c>
      <c r="AR123" t="s">
        <v>67</v>
      </c>
    </row>
    <row r="124" spans="1:44">
      <c r="A124" s="1">
        <v>45427</v>
      </c>
      <c r="B124" s="2">
        <v>0.23851851851851852</v>
      </c>
      <c r="C124" t="s">
        <v>44</v>
      </c>
      <c r="D124" t="s">
        <v>45</v>
      </c>
      <c r="E124">
        <v>0.48599999999999999</v>
      </c>
      <c r="F124" t="s">
        <v>46</v>
      </c>
      <c r="G124" t="s">
        <v>47</v>
      </c>
      <c r="H124" t="s">
        <v>45</v>
      </c>
      <c r="I124">
        <v>0.30830000000000002</v>
      </c>
      <c r="J124" t="s">
        <v>46</v>
      </c>
      <c r="K124" t="s">
        <v>48</v>
      </c>
      <c r="L124" t="s">
        <v>49</v>
      </c>
      <c r="M124" t="s">
        <v>50</v>
      </c>
      <c r="N124" t="s">
        <v>51</v>
      </c>
      <c r="O124">
        <v>3.45</v>
      </c>
      <c r="P124">
        <v>8.26</v>
      </c>
      <c r="Q124" t="s">
        <v>46</v>
      </c>
      <c r="R124" t="s">
        <v>52</v>
      </c>
      <c r="S124" t="s">
        <v>53</v>
      </c>
      <c r="T124" t="s">
        <v>46</v>
      </c>
      <c r="U124" t="s">
        <v>54</v>
      </c>
      <c r="V124" t="s">
        <v>55</v>
      </c>
      <c r="W124" t="s">
        <v>263</v>
      </c>
      <c r="X124" t="s">
        <v>224</v>
      </c>
      <c r="Y124">
        <v>1.25</v>
      </c>
      <c r="Z124" t="s">
        <v>46</v>
      </c>
      <c r="AA124" t="s">
        <v>58</v>
      </c>
      <c r="AB124" t="s">
        <v>59</v>
      </c>
      <c r="AC124">
        <v>283</v>
      </c>
      <c r="AD124" t="s">
        <v>46</v>
      </c>
      <c r="AE124" t="s">
        <v>60</v>
      </c>
      <c r="AF124" t="s">
        <v>45</v>
      </c>
      <c r="AG124" t="s">
        <v>46</v>
      </c>
      <c r="AH124" t="s">
        <v>61</v>
      </c>
      <c r="AI124" t="s">
        <v>48</v>
      </c>
      <c r="AJ124" t="s">
        <v>62</v>
      </c>
      <c r="AK124" t="s">
        <v>63</v>
      </c>
      <c r="AL124" t="s">
        <v>376</v>
      </c>
      <c r="AM124" t="s">
        <v>46</v>
      </c>
      <c r="AN124" t="s">
        <v>60</v>
      </c>
      <c r="AO124" t="s">
        <v>62</v>
      </c>
      <c r="AP124" t="s">
        <v>420</v>
      </c>
      <c r="AQ124" t="s">
        <v>66</v>
      </c>
      <c r="AR124" t="s">
        <v>67</v>
      </c>
    </row>
    <row r="125" spans="1:44">
      <c r="A125" s="1">
        <v>45427</v>
      </c>
      <c r="B125" s="2">
        <v>0.23856481481481481</v>
      </c>
      <c r="C125" t="s">
        <v>44</v>
      </c>
      <c r="D125" t="s">
        <v>45</v>
      </c>
      <c r="E125">
        <v>0.82899999999999996</v>
      </c>
      <c r="F125" t="s">
        <v>46</v>
      </c>
      <c r="G125" t="s">
        <v>47</v>
      </c>
      <c r="H125" t="s">
        <v>45</v>
      </c>
      <c r="I125">
        <v>0.30830000000000002</v>
      </c>
      <c r="J125" t="s">
        <v>46</v>
      </c>
      <c r="K125" t="s">
        <v>48</v>
      </c>
      <c r="L125" t="s">
        <v>49</v>
      </c>
      <c r="M125" t="s">
        <v>50</v>
      </c>
      <c r="N125" t="s">
        <v>51</v>
      </c>
      <c r="O125">
        <v>3.45</v>
      </c>
      <c r="P125">
        <v>8.26</v>
      </c>
      <c r="Q125" t="s">
        <v>46</v>
      </c>
      <c r="R125" t="s">
        <v>52</v>
      </c>
      <c r="S125" t="s">
        <v>53</v>
      </c>
      <c r="T125" t="s">
        <v>46</v>
      </c>
      <c r="U125" t="s">
        <v>54</v>
      </c>
      <c r="V125" t="s">
        <v>55</v>
      </c>
      <c r="W125" t="s">
        <v>221</v>
      </c>
      <c r="X125" t="s">
        <v>119</v>
      </c>
      <c r="Y125">
        <v>1.26</v>
      </c>
      <c r="Z125" t="s">
        <v>46</v>
      </c>
      <c r="AA125" t="s">
        <v>58</v>
      </c>
      <c r="AB125" t="s">
        <v>59</v>
      </c>
      <c r="AC125">
        <v>283</v>
      </c>
      <c r="AD125" t="s">
        <v>46</v>
      </c>
      <c r="AE125" t="s">
        <v>60</v>
      </c>
      <c r="AF125" t="s">
        <v>45</v>
      </c>
      <c r="AG125" t="s">
        <v>46</v>
      </c>
      <c r="AH125" t="s">
        <v>61</v>
      </c>
      <c r="AI125" t="s">
        <v>48</v>
      </c>
      <c r="AJ125" t="s">
        <v>62</v>
      </c>
      <c r="AK125" t="s">
        <v>63</v>
      </c>
      <c r="AL125" t="s">
        <v>376</v>
      </c>
      <c r="AM125" t="s">
        <v>46</v>
      </c>
      <c r="AN125" t="s">
        <v>60</v>
      </c>
      <c r="AO125" t="s">
        <v>62</v>
      </c>
      <c r="AP125" t="s">
        <v>421</v>
      </c>
      <c r="AQ125" t="s">
        <v>66</v>
      </c>
      <c r="AR125" t="s">
        <v>67</v>
      </c>
    </row>
    <row r="126" spans="1:44">
      <c r="A126" s="1">
        <v>45427</v>
      </c>
      <c r="B126" s="2">
        <v>0.23861111111111111</v>
      </c>
      <c r="C126" t="s">
        <v>44</v>
      </c>
      <c r="D126" t="s">
        <v>45</v>
      </c>
      <c r="E126">
        <v>0.73499999999999999</v>
      </c>
      <c r="F126" t="s">
        <v>46</v>
      </c>
      <c r="G126" t="s">
        <v>47</v>
      </c>
      <c r="H126" t="s">
        <v>45</v>
      </c>
      <c r="I126">
        <v>0.30830000000000002</v>
      </c>
      <c r="J126" t="s">
        <v>46</v>
      </c>
      <c r="K126" t="s">
        <v>48</v>
      </c>
      <c r="L126" t="s">
        <v>49</v>
      </c>
      <c r="M126" t="s">
        <v>50</v>
      </c>
      <c r="N126" t="s">
        <v>51</v>
      </c>
      <c r="O126">
        <v>3.45</v>
      </c>
      <c r="P126">
        <v>8.26</v>
      </c>
      <c r="Q126" t="s">
        <v>46</v>
      </c>
      <c r="R126" t="s">
        <v>52</v>
      </c>
      <c r="S126" t="s">
        <v>53</v>
      </c>
      <c r="T126" t="s">
        <v>46</v>
      </c>
      <c r="U126" t="s">
        <v>54</v>
      </c>
      <c r="V126" t="s">
        <v>55</v>
      </c>
      <c r="W126" t="s">
        <v>221</v>
      </c>
      <c r="X126" t="s">
        <v>119</v>
      </c>
      <c r="Y126">
        <v>1.26</v>
      </c>
      <c r="Z126" t="s">
        <v>46</v>
      </c>
      <c r="AA126" t="s">
        <v>58</v>
      </c>
      <c r="AB126" t="s">
        <v>59</v>
      </c>
      <c r="AC126">
        <v>283</v>
      </c>
      <c r="AD126" t="s">
        <v>46</v>
      </c>
      <c r="AE126" t="s">
        <v>60</v>
      </c>
      <c r="AF126" t="s">
        <v>45</v>
      </c>
      <c r="AG126" t="s">
        <v>46</v>
      </c>
      <c r="AH126" t="s">
        <v>61</v>
      </c>
      <c r="AI126" t="s">
        <v>48</v>
      </c>
      <c r="AJ126" t="s">
        <v>62</v>
      </c>
      <c r="AK126" t="s">
        <v>63</v>
      </c>
      <c r="AL126" t="s">
        <v>376</v>
      </c>
      <c r="AM126" t="s">
        <v>46</v>
      </c>
      <c r="AN126" t="s">
        <v>60</v>
      </c>
      <c r="AO126" t="s">
        <v>62</v>
      </c>
      <c r="AP126" t="s">
        <v>422</v>
      </c>
      <c r="AQ126" t="s">
        <v>66</v>
      </c>
      <c r="AR126" t="s">
        <v>67</v>
      </c>
    </row>
    <row r="127" spans="1:44">
      <c r="A127" s="1">
        <v>45427</v>
      </c>
      <c r="B127" s="2">
        <v>0.2386574074074074</v>
      </c>
      <c r="C127" t="s">
        <v>44</v>
      </c>
      <c r="D127" t="s">
        <v>45</v>
      </c>
      <c r="E127">
        <v>0.94099999999999995</v>
      </c>
      <c r="F127" t="s">
        <v>46</v>
      </c>
      <c r="G127" t="s">
        <v>47</v>
      </c>
      <c r="H127" t="s">
        <v>45</v>
      </c>
      <c r="I127">
        <v>0.30840000000000001</v>
      </c>
      <c r="J127" t="s">
        <v>46</v>
      </c>
      <c r="K127" t="s">
        <v>48</v>
      </c>
      <c r="L127" t="s">
        <v>49</v>
      </c>
      <c r="M127" t="s">
        <v>50</v>
      </c>
      <c r="N127" t="s">
        <v>51</v>
      </c>
      <c r="O127">
        <v>3.45</v>
      </c>
      <c r="P127">
        <v>8.26</v>
      </c>
      <c r="Q127" t="s">
        <v>46</v>
      </c>
      <c r="R127" t="s">
        <v>52</v>
      </c>
      <c r="S127" t="s">
        <v>53</v>
      </c>
      <c r="T127" t="s">
        <v>46</v>
      </c>
      <c r="U127" t="s">
        <v>54</v>
      </c>
      <c r="V127" t="s">
        <v>55</v>
      </c>
      <c r="W127" t="s">
        <v>109</v>
      </c>
      <c r="X127" t="s">
        <v>119</v>
      </c>
      <c r="Y127">
        <v>1.26</v>
      </c>
      <c r="Z127" t="s">
        <v>46</v>
      </c>
      <c r="AA127" t="s">
        <v>58</v>
      </c>
      <c r="AB127" t="s">
        <v>59</v>
      </c>
      <c r="AC127">
        <v>284</v>
      </c>
      <c r="AD127" t="s">
        <v>46</v>
      </c>
      <c r="AE127" t="s">
        <v>60</v>
      </c>
      <c r="AF127" t="s">
        <v>45</v>
      </c>
      <c r="AG127" t="s">
        <v>46</v>
      </c>
      <c r="AH127" t="s">
        <v>61</v>
      </c>
      <c r="AI127" t="s">
        <v>48</v>
      </c>
      <c r="AJ127" t="s">
        <v>62</v>
      </c>
      <c r="AK127" t="s">
        <v>63</v>
      </c>
      <c r="AL127" t="s">
        <v>376</v>
      </c>
      <c r="AM127" t="s">
        <v>46</v>
      </c>
      <c r="AN127" t="s">
        <v>60</v>
      </c>
      <c r="AO127" t="s">
        <v>62</v>
      </c>
      <c r="AP127" t="s">
        <v>423</v>
      </c>
      <c r="AQ127" t="s">
        <v>66</v>
      </c>
      <c r="AR127" t="s">
        <v>67</v>
      </c>
    </row>
    <row r="128" spans="1:44">
      <c r="A128" s="1">
        <v>45427</v>
      </c>
      <c r="B128" s="2">
        <v>0.23871527777777779</v>
      </c>
      <c r="C128" t="s">
        <v>44</v>
      </c>
      <c r="D128" t="s">
        <v>45</v>
      </c>
      <c r="E128">
        <v>0.51500000000000001</v>
      </c>
      <c r="F128" t="s">
        <v>46</v>
      </c>
      <c r="G128" t="s">
        <v>47</v>
      </c>
      <c r="H128" t="s">
        <v>45</v>
      </c>
      <c r="I128">
        <v>0.30840000000000001</v>
      </c>
      <c r="J128" t="s">
        <v>46</v>
      </c>
      <c r="K128" t="s">
        <v>48</v>
      </c>
      <c r="L128" t="s">
        <v>49</v>
      </c>
      <c r="M128" t="s">
        <v>50</v>
      </c>
      <c r="N128" t="s">
        <v>51</v>
      </c>
      <c r="O128">
        <v>3.45</v>
      </c>
      <c r="P128">
        <v>8.26</v>
      </c>
      <c r="Q128" t="s">
        <v>46</v>
      </c>
      <c r="R128" t="s">
        <v>52</v>
      </c>
      <c r="S128" t="s">
        <v>53</v>
      </c>
      <c r="T128" t="s">
        <v>46</v>
      </c>
      <c r="U128" t="s">
        <v>54</v>
      </c>
      <c r="V128" t="s">
        <v>55</v>
      </c>
      <c r="W128" t="s">
        <v>109</v>
      </c>
      <c r="X128" t="s">
        <v>310</v>
      </c>
      <c r="Y128">
        <v>1.26</v>
      </c>
      <c r="Z128" t="s">
        <v>46</v>
      </c>
      <c r="AA128" t="s">
        <v>58</v>
      </c>
      <c r="AB128" t="s">
        <v>59</v>
      </c>
      <c r="AC128">
        <v>283</v>
      </c>
      <c r="AD128" t="s">
        <v>46</v>
      </c>
      <c r="AE128" t="s">
        <v>60</v>
      </c>
      <c r="AF128" t="s">
        <v>45</v>
      </c>
      <c r="AG128" t="s">
        <v>46</v>
      </c>
      <c r="AH128" t="s">
        <v>61</v>
      </c>
      <c r="AI128" t="s">
        <v>48</v>
      </c>
      <c r="AJ128" t="s">
        <v>62</v>
      </c>
      <c r="AK128" t="s">
        <v>63</v>
      </c>
      <c r="AL128" t="s">
        <v>376</v>
      </c>
      <c r="AM128" t="s">
        <v>46</v>
      </c>
      <c r="AN128" t="s">
        <v>60</v>
      </c>
      <c r="AO128" t="s">
        <v>62</v>
      </c>
      <c r="AP128" t="s">
        <v>424</v>
      </c>
      <c r="AQ128" t="s">
        <v>66</v>
      </c>
      <c r="AR128" t="s">
        <v>67</v>
      </c>
    </row>
    <row r="129" spans="1:44">
      <c r="A129" s="1">
        <v>45427</v>
      </c>
      <c r="B129" s="2">
        <v>0.23876157407407408</v>
      </c>
      <c r="C129" t="s">
        <v>44</v>
      </c>
      <c r="D129" t="s">
        <v>45</v>
      </c>
      <c r="E129">
        <v>0.72699999999999998</v>
      </c>
      <c r="F129" t="s">
        <v>46</v>
      </c>
      <c r="G129" t="s">
        <v>47</v>
      </c>
      <c r="H129" t="s">
        <v>45</v>
      </c>
      <c r="I129">
        <v>0.30819999999999997</v>
      </c>
      <c r="J129" t="s">
        <v>46</v>
      </c>
      <c r="K129" t="s">
        <v>48</v>
      </c>
      <c r="L129" t="s">
        <v>49</v>
      </c>
      <c r="M129" t="s">
        <v>50</v>
      </c>
      <c r="N129" t="s">
        <v>51</v>
      </c>
      <c r="O129">
        <v>3.45</v>
      </c>
      <c r="P129">
        <v>8.26</v>
      </c>
      <c r="Q129" t="s">
        <v>46</v>
      </c>
      <c r="R129" t="s">
        <v>52</v>
      </c>
      <c r="S129" t="s">
        <v>53</v>
      </c>
      <c r="T129" t="s">
        <v>46</v>
      </c>
      <c r="U129" t="s">
        <v>54</v>
      </c>
      <c r="V129" t="s">
        <v>55</v>
      </c>
      <c r="W129" t="s">
        <v>109</v>
      </c>
      <c r="X129" t="s">
        <v>310</v>
      </c>
      <c r="Y129">
        <v>1.26</v>
      </c>
      <c r="Z129" t="s">
        <v>46</v>
      </c>
      <c r="AA129" t="s">
        <v>58</v>
      </c>
      <c r="AB129" t="s">
        <v>59</v>
      </c>
      <c r="AC129">
        <v>283</v>
      </c>
      <c r="AD129" t="s">
        <v>46</v>
      </c>
      <c r="AE129" t="s">
        <v>60</v>
      </c>
      <c r="AF129" t="s">
        <v>45</v>
      </c>
      <c r="AG129" t="s">
        <v>46</v>
      </c>
      <c r="AH129" t="s">
        <v>61</v>
      </c>
      <c r="AI129" t="s">
        <v>48</v>
      </c>
      <c r="AJ129" t="s">
        <v>62</v>
      </c>
      <c r="AK129" t="s">
        <v>63</v>
      </c>
      <c r="AL129" t="s">
        <v>376</v>
      </c>
      <c r="AM129" t="s">
        <v>46</v>
      </c>
      <c r="AN129" t="s">
        <v>60</v>
      </c>
      <c r="AO129" t="s">
        <v>62</v>
      </c>
      <c r="AP129" t="s">
        <v>425</v>
      </c>
      <c r="AQ129" t="s">
        <v>66</v>
      </c>
      <c r="AR129" t="s">
        <v>67</v>
      </c>
    </row>
    <row r="130" spans="1:44">
      <c r="A130" s="1">
        <v>45427</v>
      </c>
      <c r="B130" s="2">
        <v>0.23880787037037038</v>
      </c>
      <c r="C130" t="s">
        <v>44</v>
      </c>
      <c r="D130" t="s">
        <v>45</v>
      </c>
      <c r="E130">
        <v>0.53100000000000003</v>
      </c>
      <c r="F130" t="s">
        <v>46</v>
      </c>
      <c r="G130" t="s">
        <v>47</v>
      </c>
      <c r="H130" t="s">
        <v>45</v>
      </c>
      <c r="I130">
        <v>0.30840000000000001</v>
      </c>
      <c r="J130" t="s">
        <v>46</v>
      </c>
      <c r="K130" t="s">
        <v>48</v>
      </c>
      <c r="L130" t="s">
        <v>49</v>
      </c>
      <c r="M130" t="s">
        <v>50</v>
      </c>
      <c r="N130" t="s">
        <v>51</v>
      </c>
      <c r="O130">
        <v>3.45</v>
      </c>
      <c r="P130">
        <v>8.26</v>
      </c>
      <c r="Q130" t="s">
        <v>46</v>
      </c>
      <c r="R130" t="s">
        <v>52</v>
      </c>
      <c r="S130" t="s">
        <v>53</v>
      </c>
      <c r="T130" t="s">
        <v>46</v>
      </c>
      <c r="U130" t="s">
        <v>54</v>
      </c>
      <c r="V130" t="s">
        <v>55</v>
      </c>
      <c r="W130" t="s">
        <v>109</v>
      </c>
      <c r="X130" t="s">
        <v>310</v>
      </c>
      <c r="Y130">
        <v>1.26</v>
      </c>
      <c r="Z130" t="s">
        <v>46</v>
      </c>
      <c r="AA130" t="s">
        <v>58</v>
      </c>
      <c r="AB130" t="s">
        <v>59</v>
      </c>
      <c r="AC130">
        <v>283</v>
      </c>
      <c r="AD130" t="s">
        <v>46</v>
      </c>
      <c r="AE130" t="s">
        <v>60</v>
      </c>
      <c r="AF130" t="s">
        <v>45</v>
      </c>
      <c r="AG130" t="s">
        <v>46</v>
      </c>
      <c r="AH130" t="s">
        <v>61</v>
      </c>
      <c r="AI130" t="s">
        <v>48</v>
      </c>
      <c r="AJ130" t="s">
        <v>62</v>
      </c>
      <c r="AK130" t="s">
        <v>63</v>
      </c>
      <c r="AL130" t="s">
        <v>376</v>
      </c>
      <c r="AM130" t="s">
        <v>46</v>
      </c>
      <c r="AN130" t="s">
        <v>60</v>
      </c>
      <c r="AO130" t="s">
        <v>62</v>
      </c>
      <c r="AP130" t="s">
        <v>426</v>
      </c>
      <c r="AQ130" t="s">
        <v>66</v>
      </c>
      <c r="AR130" t="s">
        <v>67</v>
      </c>
    </row>
    <row r="131" spans="1:44">
      <c r="A131" s="1">
        <v>45427</v>
      </c>
      <c r="B131" s="2">
        <v>0.23885416666666667</v>
      </c>
      <c r="C131" t="s">
        <v>44</v>
      </c>
      <c r="D131" t="s">
        <v>45</v>
      </c>
      <c r="E131">
        <v>0.48399999999999999</v>
      </c>
      <c r="F131" t="s">
        <v>46</v>
      </c>
      <c r="G131" t="s">
        <v>47</v>
      </c>
      <c r="H131" t="s">
        <v>45</v>
      </c>
      <c r="I131">
        <v>0.3085</v>
      </c>
      <c r="J131" t="s">
        <v>46</v>
      </c>
      <c r="K131" t="s">
        <v>48</v>
      </c>
      <c r="L131" t="s">
        <v>49</v>
      </c>
      <c r="M131" t="s">
        <v>50</v>
      </c>
      <c r="N131" t="s">
        <v>51</v>
      </c>
      <c r="O131">
        <v>3.45</v>
      </c>
      <c r="P131">
        <v>8.26</v>
      </c>
      <c r="Q131" t="s">
        <v>46</v>
      </c>
      <c r="R131" t="s">
        <v>52</v>
      </c>
      <c r="S131" t="s">
        <v>53</v>
      </c>
      <c r="T131" t="s">
        <v>46</v>
      </c>
      <c r="U131" t="s">
        <v>54</v>
      </c>
      <c r="V131" t="s">
        <v>55</v>
      </c>
      <c r="W131" t="s">
        <v>92</v>
      </c>
      <c r="X131" t="s">
        <v>335</v>
      </c>
      <c r="Y131">
        <v>1.26</v>
      </c>
      <c r="Z131" t="s">
        <v>46</v>
      </c>
      <c r="AA131" t="s">
        <v>58</v>
      </c>
      <c r="AB131" t="s">
        <v>59</v>
      </c>
      <c r="AC131">
        <v>283</v>
      </c>
      <c r="AD131" t="s">
        <v>46</v>
      </c>
      <c r="AE131" t="s">
        <v>60</v>
      </c>
      <c r="AF131" t="s">
        <v>45</v>
      </c>
      <c r="AG131" t="s">
        <v>46</v>
      </c>
      <c r="AH131" t="s">
        <v>61</v>
      </c>
      <c r="AI131" t="s">
        <v>48</v>
      </c>
      <c r="AJ131" t="s">
        <v>62</v>
      </c>
      <c r="AK131" t="s">
        <v>63</v>
      </c>
      <c r="AL131" t="s">
        <v>376</v>
      </c>
      <c r="AM131" t="s">
        <v>46</v>
      </c>
      <c r="AN131" t="s">
        <v>60</v>
      </c>
      <c r="AO131" t="s">
        <v>62</v>
      </c>
      <c r="AP131" t="s">
        <v>427</v>
      </c>
      <c r="AQ131" t="s">
        <v>66</v>
      </c>
      <c r="AR131" t="s">
        <v>67</v>
      </c>
    </row>
    <row r="132" spans="1:44">
      <c r="A132" s="1">
        <v>45427</v>
      </c>
      <c r="B132" s="2">
        <v>0.23891203703703703</v>
      </c>
      <c r="C132" t="s">
        <v>44</v>
      </c>
      <c r="D132" t="s">
        <v>45</v>
      </c>
      <c r="E132">
        <v>0.71</v>
      </c>
      <c r="F132" t="s">
        <v>46</v>
      </c>
      <c r="G132" t="s">
        <v>47</v>
      </c>
      <c r="H132" t="s">
        <v>45</v>
      </c>
      <c r="I132">
        <v>0.30840000000000001</v>
      </c>
      <c r="J132" t="s">
        <v>46</v>
      </c>
      <c r="K132" t="s">
        <v>48</v>
      </c>
      <c r="L132" t="s">
        <v>49</v>
      </c>
      <c r="M132" t="s">
        <v>50</v>
      </c>
      <c r="N132" t="s">
        <v>51</v>
      </c>
      <c r="O132">
        <v>3.45</v>
      </c>
      <c r="P132">
        <v>8.26</v>
      </c>
      <c r="Q132" t="s">
        <v>46</v>
      </c>
      <c r="R132" t="s">
        <v>52</v>
      </c>
      <c r="S132" t="s">
        <v>53</v>
      </c>
      <c r="T132" t="s">
        <v>46</v>
      </c>
      <c r="U132" t="s">
        <v>54</v>
      </c>
      <c r="V132" t="s">
        <v>55</v>
      </c>
      <c r="W132" t="s">
        <v>92</v>
      </c>
      <c r="X132" t="s">
        <v>335</v>
      </c>
      <c r="Y132">
        <v>1.26</v>
      </c>
      <c r="Z132" t="s">
        <v>46</v>
      </c>
      <c r="AA132" t="s">
        <v>58</v>
      </c>
      <c r="AB132" t="s">
        <v>59</v>
      </c>
      <c r="AC132">
        <v>283</v>
      </c>
      <c r="AD132" t="s">
        <v>46</v>
      </c>
      <c r="AE132" t="s">
        <v>60</v>
      </c>
      <c r="AF132" t="s">
        <v>45</v>
      </c>
      <c r="AG132" t="s">
        <v>46</v>
      </c>
      <c r="AH132" t="s">
        <v>61</v>
      </c>
      <c r="AI132" t="s">
        <v>48</v>
      </c>
      <c r="AJ132" t="s">
        <v>62</v>
      </c>
      <c r="AK132" t="s">
        <v>63</v>
      </c>
      <c r="AL132" t="s">
        <v>376</v>
      </c>
      <c r="AM132" t="s">
        <v>46</v>
      </c>
      <c r="AN132" t="s">
        <v>60</v>
      </c>
      <c r="AO132" t="s">
        <v>62</v>
      </c>
      <c r="AP132" t="s">
        <v>428</v>
      </c>
      <c r="AQ132" t="s">
        <v>66</v>
      </c>
      <c r="AR132" t="s">
        <v>67</v>
      </c>
    </row>
    <row r="133" spans="1:44">
      <c r="A133" s="1">
        <v>45427</v>
      </c>
      <c r="B133" s="2">
        <v>0.23895833333333333</v>
      </c>
      <c r="C133" t="s">
        <v>44</v>
      </c>
      <c r="D133" t="s">
        <v>45</v>
      </c>
      <c r="E133">
        <v>0.51500000000000001</v>
      </c>
      <c r="F133" t="s">
        <v>46</v>
      </c>
      <c r="G133" t="s">
        <v>47</v>
      </c>
      <c r="H133" t="s">
        <v>45</v>
      </c>
      <c r="I133">
        <v>0.30859999999999999</v>
      </c>
      <c r="J133" t="s">
        <v>46</v>
      </c>
      <c r="K133" t="s">
        <v>48</v>
      </c>
      <c r="L133" t="s">
        <v>49</v>
      </c>
      <c r="M133" t="s">
        <v>50</v>
      </c>
      <c r="N133" t="s">
        <v>51</v>
      </c>
      <c r="O133">
        <v>3.45</v>
      </c>
      <c r="P133">
        <v>8.26</v>
      </c>
      <c r="Q133" t="s">
        <v>46</v>
      </c>
      <c r="R133" t="s">
        <v>52</v>
      </c>
      <c r="S133" t="s">
        <v>53</v>
      </c>
      <c r="T133" t="s">
        <v>46</v>
      </c>
      <c r="U133" t="s">
        <v>54</v>
      </c>
      <c r="V133" t="s">
        <v>55</v>
      </c>
      <c r="W133" t="s">
        <v>139</v>
      </c>
      <c r="X133" t="s">
        <v>114</v>
      </c>
      <c r="Y133">
        <v>1.29</v>
      </c>
      <c r="Z133" t="s">
        <v>46</v>
      </c>
      <c r="AA133" t="s">
        <v>58</v>
      </c>
      <c r="AB133" t="s">
        <v>59</v>
      </c>
      <c r="AC133">
        <v>283</v>
      </c>
      <c r="AD133" t="s">
        <v>46</v>
      </c>
      <c r="AE133" t="s">
        <v>60</v>
      </c>
      <c r="AF133" t="s">
        <v>45</v>
      </c>
      <c r="AG133" t="s">
        <v>46</v>
      </c>
      <c r="AH133" t="s">
        <v>61</v>
      </c>
      <c r="AI133" t="s">
        <v>48</v>
      </c>
      <c r="AJ133" t="s">
        <v>62</v>
      </c>
      <c r="AK133" t="s">
        <v>63</v>
      </c>
      <c r="AL133" t="s">
        <v>376</v>
      </c>
      <c r="AM133" t="s">
        <v>46</v>
      </c>
      <c r="AN133" t="s">
        <v>60</v>
      </c>
      <c r="AO133" t="s">
        <v>62</v>
      </c>
      <c r="AP133" t="s">
        <v>429</v>
      </c>
      <c r="AQ133" t="s">
        <v>66</v>
      </c>
      <c r="AR133" t="s">
        <v>67</v>
      </c>
    </row>
    <row r="134" spans="1:44">
      <c r="A134" s="1">
        <v>45427</v>
      </c>
      <c r="B134" s="2">
        <v>0.23900462962962962</v>
      </c>
      <c r="C134" t="s">
        <v>44</v>
      </c>
      <c r="D134" t="s">
        <v>45</v>
      </c>
      <c r="E134">
        <v>0.55900000000000005</v>
      </c>
      <c r="F134" t="s">
        <v>46</v>
      </c>
      <c r="G134" t="s">
        <v>47</v>
      </c>
      <c r="H134" t="s">
        <v>45</v>
      </c>
      <c r="I134">
        <v>0.3085</v>
      </c>
      <c r="J134" t="s">
        <v>46</v>
      </c>
      <c r="K134" t="s">
        <v>48</v>
      </c>
      <c r="L134" t="s">
        <v>49</v>
      </c>
      <c r="M134" t="s">
        <v>50</v>
      </c>
      <c r="N134" t="s">
        <v>51</v>
      </c>
      <c r="O134">
        <v>3.45</v>
      </c>
      <c r="P134">
        <v>8.26</v>
      </c>
      <c r="Q134" t="s">
        <v>46</v>
      </c>
      <c r="R134" t="s">
        <v>52</v>
      </c>
      <c r="S134" t="s">
        <v>53</v>
      </c>
      <c r="T134" t="s">
        <v>46</v>
      </c>
      <c r="U134" t="s">
        <v>54</v>
      </c>
      <c r="V134" t="s">
        <v>55</v>
      </c>
      <c r="W134" t="s">
        <v>430</v>
      </c>
      <c r="X134" t="s">
        <v>305</v>
      </c>
      <c r="Y134">
        <v>1.29</v>
      </c>
      <c r="Z134" t="s">
        <v>46</v>
      </c>
      <c r="AA134" t="s">
        <v>58</v>
      </c>
      <c r="AB134" t="s">
        <v>59</v>
      </c>
      <c r="AC134">
        <v>283</v>
      </c>
      <c r="AD134" t="s">
        <v>46</v>
      </c>
      <c r="AE134" t="s">
        <v>60</v>
      </c>
      <c r="AF134" t="s">
        <v>45</v>
      </c>
      <c r="AG134" t="s">
        <v>46</v>
      </c>
      <c r="AH134" t="s">
        <v>61</v>
      </c>
      <c r="AI134" t="s">
        <v>48</v>
      </c>
      <c r="AJ134" t="s">
        <v>62</v>
      </c>
      <c r="AK134" t="s">
        <v>63</v>
      </c>
      <c r="AL134" t="s">
        <v>376</v>
      </c>
      <c r="AM134" t="s">
        <v>46</v>
      </c>
      <c r="AN134" t="s">
        <v>60</v>
      </c>
      <c r="AO134" t="s">
        <v>62</v>
      </c>
      <c r="AP134" t="s">
        <v>431</v>
      </c>
      <c r="AQ134" t="s">
        <v>66</v>
      </c>
      <c r="AR134" t="s">
        <v>67</v>
      </c>
    </row>
    <row r="135" spans="1:44">
      <c r="A135" s="1">
        <v>45427</v>
      </c>
      <c r="B135" s="2">
        <v>0.23905092592592592</v>
      </c>
      <c r="C135" t="s">
        <v>44</v>
      </c>
      <c r="D135" t="s">
        <v>45</v>
      </c>
      <c r="E135">
        <v>0.70599999999999996</v>
      </c>
      <c r="F135" t="s">
        <v>46</v>
      </c>
      <c r="G135" t="s">
        <v>47</v>
      </c>
      <c r="H135" t="s">
        <v>45</v>
      </c>
      <c r="I135">
        <v>0.3085</v>
      </c>
      <c r="J135" t="s">
        <v>46</v>
      </c>
      <c r="K135" t="s">
        <v>48</v>
      </c>
      <c r="L135" t="s">
        <v>49</v>
      </c>
      <c r="M135" t="s">
        <v>50</v>
      </c>
      <c r="N135" t="s">
        <v>51</v>
      </c>
      <c r="O135">
        <v>3.45</v>
      </c>
      <c r="P135">
        <v>8.26</v>
      </c>
      <c r="Q135" t="s">
        <v>46</v>
      </c>
      <c r="R135" t="s">
        <v>52</v>
      </c>
      <c r="S135" t="s">
        <v>53</v>
      </c>
      <c r="T135" t="s">
        <v>46</v>
      </c>
      <c r="U135" t="s">
        <v>54</v>
      </c>
      <c r="V135" t="s">
        <v>55</v>
      </c>
      <c r="W135" t="s">
        <v>432</v>
      </c>
      <c r="X135" t="s">
        <v>305</v>
      </c>
      <c r="Y135">
        <v>1.29</v>
      </c>
      <c r="Z135" t="s">
        <v>46</v>
      </c>
      <c r="AA135" t="s">
        <v>58</v>
      </c>
      <c r="AB135" t="s">
        <v>59</v>
      </c>
      <c r="AC135">
        <v>283</v>
      </c>
      <c r="AD135" t="s">
        <v>46</v>
      </c>
      <c r="AE135" t="s">
        <v>60</v>
      </c>
      <c r="AF135" t="s">
        <v>45</v>
      </c>
      <c r="AG135" t="s">
        <v>46</v>
      </c>
      <c r="AH135" t="s">
        <v>61</v>
      </c>
      <c r="AI135" t="s">
        <v>48</v>
      </c>
      <c r="AJ135" t="s">
        <v>62</v>
      </c>
      <c r="AK135" t="s">
        <v>63</v>
      </c>
      <c r="AL135" t="s">
        <v>376</v>
      </c>
      <c r="AM135" t="s">
        <v>46</v>
      </c>
      <c r="AN135" t="s">
        <v>60</v>
      </c>
      <c r="AO135" t="s">
        <v>62</v>
      </c>
      <c r="AP135" t="s">
        <v>433</v>
      </c>
      <c r="AQ135" t="s">
        <v>66</v>
      </c>
      <c r="AR135" t="s">
        <v>67</v>
      </c>
    </row>
    <row r="136" spans="1:44">
      <c r="A136" s="1">
        <v>45427</v>
      </c>
      <c r="B136" s="2">
        <v>0.23910879629629631</v>
      </c>
      <c r="C136" t="s">
        <v>44</v>
      </c>
      <c r="D136" t="s">
        <v>45</v>
      </c>
      <c r="E136">
        <v>0.81200000000000006</v>
      </c>
      <c r="F136" t="s">
        <v>46</v>
      </c>
      <c r="G136" t="s">
        <v>47</v>
      </c>
      <c r="H136" t="s">
        <v>45</v>
      </c>
      <c r="I136">
        <v>0.3085</v>
      </c>
      <c r="J136" t="s">
        <v>46</v>
      </c>
      <c r="K136" t="s">
        <v>48</v>
      </c>
      <c r="L136" t="s">
        <v>49</v>
      </c>
      <c r="M136" t="s">
        <v>50</v>
      </c>
      <c r="N136" t="s">
        <v>51</v>
      </c>
      <c r="O136">
        <v>3.45</v>
      </c>
      <c r="P136">
        <v>8.26</v>
      </c>
      <c r="Q136" t="s">
        <v>46</v>
      </c>
      <c r="R136" t="s">
        <v>52</v>
      </c>
      <c r="S136" t="s">
        <v>53</v>
      </c>
      <c r="T136" t="s">
        <v>46</v>
      </c>
      <c r="U136" t="s">
        <v>54</v>
      </c>
      <c r="V136" t="s">
        <v>55</v>
      </c>
      <c r="W136" t="s">
        <v>56</v>
      </c>
      <c r="X136" t="s">
        <v>305</v>
      </c>
      <c r="Y136">
        <v>1.29</v>
      </c>
      <c r="Z136" t="s">
        <v>46</v>
      </c>
      <c r="AA136" t="s">
        <v>58</v>
      </c>
      <c r="AB136" t="s">
        <v>59</v>
      </c>
      <c r="AC136">
        <v>283</v>
      </c>
      <c r="AD136" t="s">
        <v>46</v>
      </c>
      <c r="AE136" t="s">
        <v>60</v>
      </c>
      <c r="AF136" t="s">
        <v>45</v>
      </c>
      <c r="AG136" t="s">
        <v>46</v>
      </c>
      <c r="AH136" t="s">
        <v>61</v>
      </c>
      <c r="AI136" t="s">
        <v>48</v>
      </c>
      <c r="AJ136" t="s">
        <v>62</v>
      </c>
      <c r="AK136" t="s">
        <v>63</v>
      </c>
      <c r="AL136" t="s">
        <v>376</v>
      </c>
      <c r="AM136" t="s">
        <v>46</v>
      </c>
      <c r="AN136" t="s">
        <v>60</v>
      </c>
      <c r="AO136" t="s">
        <v>62</v>
      </c>
      <c r="AP136" t="s">
        <v>434</v>
      </c>
      <c r="AQ136" t="s">
        <v>66</v>
      </c>
      <c r="AR136" t="s">
        <v>67</v>
      </c>
    </row>
    <row r="137" spans="1:44">
      <c r="A137" s="1">
        <v>45427</v>
      </c>
      <c r="B137" s="2">
        <v>0.2391550925925926</v>
      </c>
      <c r="C137" t="s">
        <v>44</v>
      </c>
      <c r="D137" t="s">
        <v>45</v>
      </c>
      <c r="E137">
        <v>0.75</v>
      </c>
      <c r="F137" t="s">
        <v>46</v>
      </c>
      <c r="G137" t="s">
        <v>47</v>
      </c>
      <c r="H137" t="s">
        <v>45</v>
      </c>
      <c r="I137">
        <v>0.3085</v>
      </c>
      <c r="J137" t="s">
        <v>46</v>
      </c>
      <c r="K137" t="s">
        <v>48</v>
      </c>
      <c r="L137" t="s">
        <v>49</v>
      </c>
      <c r="M137" t="s">
        <v>50</v>
      </c>
      <c r="N137" t="s">
        <v>51</v>
      </c>
      <c r="O137">
        <v>3.45</v>
      </c>
      <c r="P137">
        <v>8.26</v>
      </c>
      <c r="Q137" t="s">
        <v>46</v>
      </c>
      <c r="R137" t="s">
        <v>52</v>
      </c>
      <c r="S137" t="s">
        <v>53</v>
      </c>
      <c r="T137" t="s">
        <v>46</v>
      </c>
      <c r="U137" t="s">
        <v>54</v>
      </c>
      <c r="V137" t="s">
        <v>55</v>
      </c>
      <c r="W137" t="s">
        <v>432</v>
      </c>
      <c r="X137" t="s">
        <v>114</v>
      </c>
      <c r="Y137">
        <v>1.29</v>
      </c>
      <c r="Z137" t="s">
        <v>46</v>
      </c>
      <c r="AA137" t="s">
        <v>58</v>
      </c>
      <c r="AB137" t="s">
        <v>59</v>
      </c>
      <c r="AC137">
        <v>283</v>
      </c>
      <c r="AD137" t="s">
        <v>46</v>
      </c>
      <c r="AE137" t="s">
        <v>60</v>
      </c>
      <c r="AF137" t="s">
        <v>45</v>
      </c>
      <c r="AG137" t="s">
        <v>46</v>
      </c>
      <c r="AH137" t="s">
        <v>61</v>
      </c>
      <c r="AI137" t="s">
        <v>48</v>
      </c>
      <c r="AJ137" t="s">
        <v>62</v>
      </c>
      <c r="AK137" t="s">
        <v>63</v>
      </c>
      <c r="AL137" t="s">
        <v>376</v>
      </c>
      <c r="AM137" t="s">
        <v>46</v>
      </c>
      <c r="AN137" t="s">
        <v>60</v>
      </c>
      <c r="AO137" t="s">
        <v>62</v>
      </c>
      <c r="AP137" t="s">
        <v>435</v>
      </c>
      <c r="AQ137" t="s">
        <v>66</v>
      </c>
      <c r="AR137" t="s">
        <v>67</v>
      </c>
    </row>
    <row r="138" spans="1:44">
      <c r="A138" s="1">
        <v>45427</v>
      </c>
      <c r="B138" s="2">
        <v>0.23920138888888889</v>
      </c>
      <c r="C138" t="s">
        <v>44</v>
      </c>
      <c r="D138" t="s">
        <v>45</v>
      </c>
      <c r="E138">
        <v>0.74199999999999999</v>
      </c>
      <c r="F138" t="s">
        <v>46</v>
      </c>
      <c r="G138" t="s">
        <v>47</v>
      </c>
      <c r="H138" t="s">
        <v>45</v>
      </c>
      <c r="I138">
        <v>0.30840000000000001</v>
      </c>
      <c r="J138" t="s">
        <v>46</v>
      </c>
      <c r="K138" t="s">
        <v>48</v>
      </c>
      <c r="L138" t="s">
        <v>49</v>
      </c>
      <c r="M138" t="s">
        <v>50</v>
      </c>
      <c r="N138" t="s">
        <v>51</v>
      </c>
      <c r="O138">
        <v>3.45</v>
      </c>
      <c r="P138">
        <v>8.26</v>
      </c>
      <c r="Q138" t="s">
        <v>46</v>
      </c>
      <c r="R138" t="s">
        <v>52</v>
      </c>
      <c r="S138" t="s">
        <v>53</v>
      </c>
      <c r="T138" t="s">
        <v>46</v>
      </c>
      <c r="U138" t="s">
        <v>54</v>
      </c>
      <c r="V138" t="s">
        <v>55</v>
      </c>
      <c r="W138" t="s">
        <v>333</v>
      </c>
      <c r="X138" t="s">
        <v>116</v>
      </c>
      <c r="Y138">
        <v>1.28</v>
      </c>
      <c r="Z138" t="s">
        <v>46</v>
      </c>
      <c r="AA138" t="s">
        <v>58</v>
      </c>
      <c r="AB138" t="s">
        <v>59</v>
      </c>
      <c r="AC138">
        <v>283</v>
      </c>
      <c r="AD138" t="s">
        <v>46</v>
      </c>
      <c r="AE138" t="s">
        <v>60</v>
      </c>
      <c r="AF138" t="s">
        <v>45</v>
      </c>
      <c r="AG138" t="s">
        <v>46</v>
      </c>
      <c r="AH138" t="s">
        <v>61</v>
      </c>
      <c r="AI138" t="s">
        <v>48</v>
      </c>
      <c r="AJ138" t="s">
        <v>62</v>
      </c>
      <c r="AK138" t="s">
        <v>63</v>
      </c>
      <c r="AL138" t="s">
        <v>376</v>
      </c>
      <c r="AM138" t="s">
        <v>46</v>
      </c>
      <c r="AN138" t="s">
        <v>60</v>
      </c>
      <c r="AO138" t="s">
        <v>62</v>
      </c>
      <c r="AP138" t="s">
        <v>436</v>
      </c>
      <c r="AQ138" t="s">
        <v>66</v>
      </c>
      <c r="AR138" t="s">
        <v>67</v>
      </c>
    </row>
    <row r="139" spans="1:44">
      <c r="A139" s="1">
        <v>45427</v>
      </c>
      <c r="B139" s="2">
        <v>0.23924768518518519</v>
      </c>
      <c r="C139" t="s">
        <v>44</v>
      </c>
      <c r="D139" t="s">
        <v>45</v>
      </c>
      <c r="E139">
        <v>0.51600000000000001</v>
      </c>
      <c r="F139" t="s">
        <v>46</v>
      </c>
      <c r="G139" t="s">
        <v>47</v>
      </c>
      <c r="H139" t="s">
        <v>45</v>
      </c>
      <c r="I139">
        <v>0.3085</v>
      </c>
      <c r="J139" t="s">
        <v>46</v>
      </c>
      <c r="K139" t="s">
        <v>48</v>
      </c>
      <c r="L139" t="s">
        <v>49</v>
      </c>
      <c r="M139" t="s">
        <v>50</v>
      </c>
      <c r="N139" t="s">
        <v>51</v>
      </c>
      <c r="O139">
        <v>3.45</v>
      </c>
      <c r="P139">
        <v>8.26</v>
      </c>
      <c r="Q139" t="s">
        <v>46</v>
      </c>
      <c r="R139" t="s">
        <v>52</v>
      </c>
      <c r="S139" t="s">
        <v>53</v>
      </c>
      <c r="T139" t="s">
        <v>46</v>
      </c>
      <c r="U139" t="s">
        <v>54</v>
      </c>
      <c r="V139" t="s">
        <v>55</v>
      </c>
      <c r="W139" t="s">
        <v>333</v>
      </c>
      <c r="X139" t="s">
        <v>116</v>
      </c>
      <c r="Y139">
        <v>1.28</v>
      </c>
      <c r="Z139" t="s">
        <v>46</v>
      </c>
      <c r="AA139" t="s">
        <v>58</v>
      </c>
      <c r="AB139" t="s">
        <v>59</v>
      </c>
      <c r="AC139">
        <v>283</v>
      </c>
      <c r="AD139" t="s">
        <v>46</v>
      </c>
      <c r="AE139" t="s">
        <v>60</v>
      </c>
      <c r="AF139" t="s">
        <v>45</v>
      </c>
      <c r="AG139" t="s">
        <v>46</v>
      </c>
      <c r="AH139" t="s">
        <v>61</v>
      </c>
      <c r="AI139" t="s">
        <v>48</v>
      </c>
      <c r="AJ139" t="s">
        <v>62</v>
      </c>
      <c r="AK139" t="s">
        <v>63</v>
      </c>
      <c r="AL139" t="s">
        <v>376</v>
      </c>
      <c r="AM139" t="s">
        <v>46</v>
      </c>
      <c r="AN139" t="s">
        <v>60</v>
      </c>
      <c r="AO139" t="s">
        <v>62</v>
      </c>
      <c r="AP139" t="s">
        <v>437</v>
      </c>
      <c r="AQ139" t="s">
        <v>66</v>
      </c>
      <c r="AR139" t="s">
        <v>67</v>
      </c>
    </row>
    <row r="140" spans="1:44">
      <c r="A140" s="1">
        <v>45427</v>
      </c>
      <c r="B140" s="2">
        <v>0.23930555555555555</v>
      </c>
      <c r="C140" t="s">
        <v>44</v>
      </c>
      <c r="D140" t="s">
        <v>45</v>
      </c>
      <c r="E140">
        <v>0.55900000000000005</v>
      </c>
      <c r="F140" t="s">
        <v>46</v>
      </c>
      <c r="G140" t="s">
        <v>47</v>
      </c>
      <c r="H140" t="s">
        <v>45</v>
      </c>
      <c r="I140">
        <v>0.30859999999999999</v>
      </c>
      <c r="J140" t="s">
        <v>46</v>
      </c>
      <c r="K140" t="s">
        <v>48</v>
      </c>
      <c r="L140" t="s">
        <v>49</v>
      </c>
      <c r="M140" t="s">
        <v>50</v>
      </c>
      <c r="N140" t="s">
        <v>51</v>
      </c>
      <c r="O140">
        <v>3.45</v>
      </c>
      <c r="P140">
        <v>8.26</v>
      </c>
      <c r="Q140" t="s">
        <v>46</v>
      </c>
      <c r="R140" t="s">
        <v>52</v>
      </c>
      <c r="S140" t="s">
        <v>53</v>
      </c>
      <c r="T140" t="s">
        <v>46</v>
      </c>
      <c r="U140" t="s">
        <v>54</v>
      </c>
      <c r="V140" t="s">
        <v>55</v>
      </c>
      <c r="W140" t="s">
        <v>297</v>
      </c>
      <c r="X140" t="s">
        <v>405</v>
      </c>
      <c r="Y140">
        <v>1.27</v>
      </c>
      <c r="Z140" t="s">
        <v>46</v>
      </c>
      <c r="AA140" t="s">
        <v>58</v>
      </c>
      <c r="AB140" t="s">
        <v>59</v>
      </c>
      <c r="AC140">
        <v>283</v>
      </c>
      <c r="AD140" t="s">
        <v>46</v>
      </c>
      <c r="AE140" t="s">
        <v>60</v>
      </c>
      <c r="AF140" t="s">
        <v>45</v>
      </c>
      <c r="AG140" t="s">
        <v>46</v>
      </c>
      <c r="AH140" t="s">
        <v>61</v>
      </c>
      <c r="AI140" t="s">
        <v>48</v>
      </c>
      <c r="AJ140" t="s">
        <v>62</v>
      </c>
      <c r="AK140" t="s">
        <v>63</v>
      </c>
      <c r="AL140" t="s">
        <v>376</v>
      </c>
      <c r="AM140" t="s">
        <v>46</v>
      </c>
      <c r="AN140" t="s">
        <v>60</v>
      </c>
      <c r="AO140" t="s">
        <v>62</v>
      </c>
      <c r="AP140" t="s">
        <v>438</v>
      </c>
      <c r="AQ140" t="s">
        <v>66</v>
      </c>
      <c r="AR140" t="s">
        <v>67</v>
      </c>
    </row>
    <row r="141" spans="1:44">
      <c r="A141" s="1">
        <v>45427</v>
      </c>
      <c r="B141" s="2">
        <v>0.23935185185185184</v>
      </c>
      <c r="C141" t="s">
        <v>44</v>
      </c>
      <c r="D141" t="s">
        <v>45</v>
      </c>
      <c r="E141">
        <v>0.68799999999999994</v>
      </c>
      <c r="F141" t="s">
        <v>46</v>
      </c>
      <c r="G141" t="s">
        <v>47</v>
      </c>
      <c r="H141" t="s">
        <v>45</v>
      </c>
      <c r="I141">
        <v>0.3085</v>
      </c>
      <c r="J141" t="s">
        <v>46</v>
      </c>
      <c r="K141" t="s">
        <v>48</v>
      </c>
      <c r="L141" t="s">
        <v>49</v>
      </c>
      <c r="M141" t="s">
        <v>50</v>
      </c>
      <c r="N141" t="s">
        <v>51</v>
      </c>
      <c r="O141">
        <v>3.45</v>
      </c>
      <c r="P141">
        <v>8.26</v>
      </c>
      <c r="Q141" t="s">
        <v>46</v>
      </c>
      <c r="R141" t="s">
        <v>52</v>
      </c>
      <c r="S141" t="s">
        <v>53</v>
      </c>
      <c r="T141" t="s">
        <v>46</v>
      </c>
      <c r="U141" t="s">
        <v>54</v>
      </c>
      <c r="V141" t="s">
        <v>55</v>
      </c>
      <c r="W141" t="s">
        <v>300</v>
      </c>
      <c r="X141" t="s">
        <v>405</v>
      </c>
      <c r="Y141">
        <v>1.27</v>
      </c>
      <c r="Z141" t="s">
        <v>46</v>
      </c>
      <c r="AA141" t="s">
        <v>58</v>
      </c>
      <c r="AB141" t="s">
        <v>59</v>
      </c>
      <c r="AC141">
        <v>283</v>
      </c>
      <c r="AD141" t="s">
        <v>46</v>
      </c>
      <c r="AE141" t="s">
        <v>60</v>
      </c>
      <c r="AF141" t="s">
        <v>45</v>
      </c>
      <c r="AG141" t="s">
        <v>46</v>
      </c>
      <c r="AH141" t="s">
        <v>61</v>
      </c>
      <c r="AI141" t="s">
        <v>48</v>
      </c>
      <c r="AJ141" t="s">
        <v>62</v>
      </c>
      <c r="AK141" t="s">
        <v>63</v>
      </c>
      <c r="AL141" t="s">
        <v>376</v>
      </c>
      <c r="AM141" t="s">
        <v>46</v>
      </c>
      <c r="AN141" t="s">
        <v>60</v>
      </c>
      <c r="AO141" t="s">
        <v>62</v>
      </c>
      <c r="AP141" t="s">
        <v>439</v>
      </c>
      <c r="AQ141" t="s">
        <v>66</v>
      </c>
      <c r="AR141" t="s">
        <v>67</v>
      </c>
    </row>
    <row r="142" spans="1:44">
      <c r="A142" s="1">
        <v>45427</v>
      </c>
      <c r="B142" s="2">
        <v>0.23939814814814814</v>
      </c>
      <c r="C142" t="s">
        <v>44</v>
      </c>
      <c r="D142" t="s">
        <v>45</v>
      </c>
      <c r="E142">
        <v>0.5</v>
      </c>
      <c r="F142" t="s">
        <v>46</v>
      </c>
      <c r="G142" t="s">
        <v>47</v>
      </c>
      <c r="H142" t="s">
        <v>45</v>
      </c>
      <c r="I142">
        <v>0.3085</v>
      </c>
      <c r="J142" t="s">
        <v>46</v>
      </c>
      <c r="K142" t="s">
        <v>48</v>
      </c>
      <c r="L142" t="s">
        <v>49</v>
      </c>
      <c r="M142" t="s">
        <v>50</v>
      </c>
      <c r="N142" t="s">
        <v>51</v>
      </c>
      <c r="O142">
        <v>3.45</v>
      </c>
      <c r="P142">
        <v>8.26</v>
      </c>
      <c r="Q142" t="s">
        <v>46</v>
      </c>
      <c r="R142" t="s">
        <v>52</v>
      </c>
      <c r="S142" t="s">
        <v>53</v>
      </c>
      <c r="T142" t="s">
        <v>46</v>
      </c>
      <c r="U142" t="s">
        <v>54</v>
      </c>
      <c r="V142" t="s">
        <v>55</v>
      </c>
      <c r="W142" t="s">
        <v>403</v>
      </c>
      <c r="X142" t="s">
        <v>317</v>
      </c>
      <c r="Y142">
        <v>1.27</v>
      </c>
      <c r="Z142" t="s">
        <v>46</v>
      </c>
      <c r="AA142" t="s">
        <v>58</v>
      </c>
      <c r="AB142" t="s">
        <v>59</v>
      </c>
      <c r="AC142">
        <v>283</v>
      </c>
      <c r="AD142" t="s">
        <v>46</v>
      </c>
      <c r="AE142" t="s">
        <v>60</v>
      </c>
      <c r="AF142" t="s">
        <v>45</v>
      </c>
      <c r="AG142" t="s">
        <v>46</v>
      </c>
      <c r="AH142" t="s">
        <v>61</v>
      </c>
      <c r="AI142" t="s">
        <v>48</v>
      </c>
      <c r="AJ142" t="s">
        <v>62</v>
      </c>
      <c r="AK142" t="s">
        <v>63</v>
      </c>
      <c r="AL142" t="s">
        <v>376</v>
      </c>
      <c r="AM142" t="s">
        <v>46</v>
      </c>
      <c r="AN142" t="s">
        <v>60</v>
      </c>
      <c r="AO142" t="s">
        <v>62</v>
      </c>
      <c r="AP142" t="s">
        <v>440</v>
      </c>
      <c r="AQ142" t="s">
        <v>66</v>
      </c>
      <c r="AR142" t="s">
        <v>67</v>
      </c>
    </row>
    <row r="143" spans="1:44">
      <c r="A143" s="1">
        <v>45427</v>
      </c>
      <c r="B143" s="2">
        <v>0.23944444444444443</v>
      </c>
      <c r="C143" t="s">
        <v>44</v>
      </c>
      <c r="D143" t="s">
        <v>45</v>
      </c>
      <c r="E143">
        <v>0.53100000000000003</v>
      </c>
      <c r="F143" t="s">
        <v>46</v>
      </c>
      <c r="G143" t="s">
        <v>47</v>
      </c>
      <c r="H143" t="s">
        <v>45</v>
      </c>
      <c r="I143">
        <v>0.30840000000000001</v>
      </c>
      <c r="J143" t="s">
        <v>46</v>
      </c>
      <c r="K143" t="s">
        <v>48</v>
      </c>
      <c r="L143" t="s">
        <v>49</v>
      </c>
      <c r="M143" t="s">
        <v>50</v>
      </c>
      <c r="N143" t="s">
        <v>51</v>
      </c>
      <c r="O143">
        <v>3.45</v>
      </c>
      <c r="P143">
        <v>8.26</v>
      </c>
      <c r="Q143" t="s">
        <v>46</v>
      </c>
      <c r="R143" t="s">
        <v>52</v>
      </c>
      <c r="S143" t="s">
        <v>53</v>
      </c>
      <c r="T143" t="s">
        <v>46</v>
      </c>
      <c r="U143" t="s">
        <v>54</v>
      </c>
      <c r="V143" t="s">
        <v>55</v>
      </c>
      <c r="W143" t="s">
        <v>405</v>
      </c>
      <c r="X143" t="s">
        <v>317</v>
      </c>
      <c r="Y143">
        <v>1.26</v>
      </c>
      <c r="Z143" t="s">
        <v>46</v>
      </c>
      <c r="AA143" t="s">
        <v>58</v>
      </c>
      <c r="AB143" t="s">
        <v>59</v>
      </c>
      <c r="AC143">
        <v>283</v>
      </c>
      <c r="AD143" t="s">
        <v>46</v>
      </c>
      <c r="AE143" t="s">
        <v>60</v>
      </c>
      <c r="AF143" t="s">
        <v>45</v>
      </c>
      <c r="AG143" t="s">
        <v>46</v>
      </c>
      <c r="AH143" t="s">
        <v>61</v>
      </c>
      <c r="AI143" t="s">
        <v>48</v>
      </c>
      <c r="AJ143" t="s">
        <v>62</v>
      </c>
      <c r="AK143" t="s">
        <v>63</v>
      </c>
      <c r="AL143" t="s">
        <v>376</v>
      </c>
      <c r="AM143" t="s">
        <v>46</v>
      </c>
      <c r="AN143" t="s">
        <v>60</v>
      </c>
      <c r="AO143" t="s">
        <v>62</v>
      </c>
      <c r="AP143" t="s">
        <v>441</v>
      </c>
      <c r="AQ143" t="s">
        <v>66</v>
      </c>
      <c r="AR143" t="s">
        <v>67</v>
      </c>
    </row>
    <row r="144" spans="1:44">
      <c r="A144" s="1">
        <v>45427</v>
      </c>
      <c r="B144" s="2">
        <v>0.23949074074074075</v>
      </c>
      <c r="C144" t="s">
        <v>44</v>
      </c>
      <c r="D144" t="s">
        <v>45</v>
      </c>
      <c r="E144">
        <v>0.66700000000000004</v>
      </c>
      <c r="F144" t="s">
        <v>46</v>
      </c>
      <c r="G144" t="s">
        <v>47</v>
      </c>
      <c r="H144" t="s">
        <v>45</v>
      </c>
      <c r="I144">
        <v>0.3085</v>
      </c>
      <c r="J144" t="s">
        <v>46</v>
      </c>
      <c r="K144" t="s">
        <v>48</v>
      </c>
      <c r="L144" t="s">
        <v>49</v>
      </c>
      <c r="M144" t="s">
        <v>50</v>
      </c>
      <c r="N144" t="s">
        <v>51</v>
      </c>
      <c r="O144">
        <v>3.45</v>
      </c>
      <c r="P144">
        <v>8.26</v>
      </c>
      <c r="Q144" t="s">
        <v>46</v>
      </c>
      <c r="R144" t="s">
        <v>52</v>
      </c>
      <c r="S144" t="s">
        <v>53</v>
      </c>
      <c r="T144" t="s">
        <v>46</v>
      </c>
      <c r="U144" t="s">
        <v>54</v>
      </c>
      <c r="V144" t="s">
        <v>55</v>
      </c>
      <c r="W144" t="s">
        <v>221</v>
      </c>
      <c r="X144" t="s">
        <v>95</v>
      </c>
      <c r="Y144">
        <v>1.26</v>
      </c>
      <c r="Z144" t="s">
        <v>46</v>
      </c>
      <c r="AA144" t="s">
        <v>58</v>
      </c>
      <c r="AB144" t="s">
        <v>59</v>
      </c>
      <c r="AC144">
        <v>283</v>
      </c>
      <c r="AD144" t="s">
        <v>46</v>
      </c>
      <c r="AE144" t="s">
        <v>60</v>
      </c>
      <c r="AF144" t="s">
        <v>45</v>
      </c>
      <c r="AG144" t="s">
        <v>46</v>
      </c>
      <c r="AH144" t="s">
        <v>61</v>
      </c>
      <c r="AI144" t="s">
        <v>48</v>
      </c>
      <c r="AJ144" t="s">
        <v>62</v>
      </c>
      <c r="AK144" t="s">
        <v>63</v>
      </c>
      <c r="AL144" t="s">
        <v>376</v>
      </c>
      <c r="AM144" t="s">
        <v>46</v>
      </c>
      <c r="AN144" t="s">
        <v>60</v>
      </c>
      <c r="AO144" t="s">
        <v>62</v>
      </c>
      <c r="AP144" t="s">
        <v>442</v>
      </c>
      <c r="AQ144" t="s">
        <v>66</v>
      </c>
      <c r="AR144" t="s">
        <v>67</v>
      </c>
    </row>
    <row r="145" spans="1:44">
      <c r="A145" s="1">
        <v>45427</v>
      </c>
      <c r="B145" s="2">
        <v>0.23954861111111111</v>
      </c>
      <c r="C145" t="s">
        <v>44</v>
      </c>
      <c r="D145" t="s">
        <v>45</v>
      </c>
      <c r="E145">
        <v>0.93899999999999995</v>
      </c>
      <c r="F145" t="s">
        <v>46</v>
      </c>
      <c r="G145" t="s">
        <v>47</v>
      </c>
      <c r="H145" t="s">
        <v>45</v>
      </c>
      <c r="I145">
        <v>0.3085</v>
      </c>
      <c r="J145" t="s">
        <v>46</v>
      </c>
      <c r="K145" t="s">
        <v>48</v>
      </c>
      <c r="L145" t="s">
        <v>49</v>
      </c>
      <c r="M145" t="s">
        <v>50</v>
      </c>
      <c r="N145" t="s">
        <v>51</v>
      </c>
      <c r="O145">
        <v>3.45</v>
      </c>
      <c r="P145">
        <v>8.26</v>
      </c>
      <c r="Q145" t="s">
        <v>46</v>
      </c>
      <c r="R145" t="s">
        <v>52</v>
      </c>
      <c r="S145" t="s">
        <v>53</v>
      </c>
      <c r="T145" t="s">
        <v>46</v>
      </c>
      <c r="U145" t="s">
        <v>54</v>
      </c>
      <c r="V145" t="s">
        <v>55</v>
      </c>
      <c r="W145" t="s">
        <v>221</v>
      </c>
      <c r="X145" t="s">
        <v>95</v>
      </c>
      <c r="Y145">
        <v>1.26</v>
      </c>
      <c r="Z145" t="s">
        <v>46</v>
      </c>
      <c r="AA145" t="s">
        <v>58</v>
      </c>
      <c r="AB145" t="s">
        <v>59</v>
      </c>
      <c r="AC145">
        <v>283</v>
      </c>
      <c r="AD145" t="s">
        <v>46</v>
      </c>
      <c r="AE145" t="s">
        <v>60</v>
      </c>
      <c r="AF145" t="s">
        <v>45</v>
      </c>
      <c r="AG145" t="s">
        <v>46</v>
      </c>
      <c r="AH145" t="s">
        <v>61</v>
      </c>
      <c r="AI145" t="s">
        <v>48</v>
      </c>
      <c r="AJ145" t="s">
        <v>62</v>
      </c>
      <c r="AK145" t="s">
        <v>63</v>
      </c>
      <c r="AL145" t="s">
        <v>376</v>
      </c>
      <c r="AM145" t="s">
        <v>46</v>
      </c>
      <c r="AN145" t="s">
        <v>60</v>
      </c>
      <c r="AO145" t="s">
        <v>62</v>
      </c>
      <c r="AP145" t="s">
        <v>443</v>
      </c>
      <c r="AQ145" t="s">
        <v>66</v>
      </c>
      <c r="AR145" t="s">
        <v>67</v>
      </c>
    </row>
    <row r="146" spans="1:44">
      <c r="A146" s="1">
        <v>45427</v>
      </c>
      <c r="B146" s="2">
        <v>0.23959490740740741</v>
      </c>
      <c r="C146" t="s">
        <v>44</v>
      </c>
      <c r="D146" t="s">
        <v>45</v>
      </c>
      <c r="E146">
        <v>1</v>
      </c>
      <c r="F146" t="s">
        <v>46</v>
      </c>
      <c r="G146" t="s">
        <v>47</v>
      </c>
      <c r="H146" t="s">
        <v>45</v>
      </c>
      <c r="I146">
        <v>0.30859999999999999</v>
      </c>
      <c r="J146" t="s">
        <v>46</v>
      </c>
      <c r="K146" t="s">
        <v>48</v>
      </c>
      <c r="L146" t="s">
        <v>49</v>
      </c>
      <c r="M146" t="s">
        <v>50</v>
      </c>
      <c r="N146" t="s">
        <v>51</v>
      </c>
      <c r="O146">
        <v>3.45</v>
      </c>
      <c r="P146">
        <v>8.26</v>
      </c>
      <c r="Q146" t="s">
        <v>46</v>
      </c>
      <c r="R146" t="s">
        <v>52</v>
      </c>
      <c r="S146" t="s">
        <v>53</v>
      </c>
      <c r="T146" t="s">
        <v>46</v>
      </c>
      <c r="U146" t="s">
        <v>54</v>
      </c>
      <c r="V146" t="s">
        <v>55</v>
      </c>
      <c r="W146" t="s">
        <v>106</v>
      </c>
      <c r="X146" t="s">
        <v>317</v>
      </c>
      <c r="Y146">
        <v>1.26</v>
      </c>
      <c r="Z146" t="s">
        <v>46</v>
      </c>
      <c r="AA146" t="s">
        <v>58</v>
      </c>
      <c r="AB146" t="s">
        <v>59</v>
      </c>
      <c r="AC146">
        <v>283</v>
      </c>
      <c r="AD146" t="s">
        <v>46</v>
      </c>
      <c r="AE146" t="s">
        <v>60</v>
      </c>
      <c r="AF146" t="s">
        <v>45</v>
      </c>
      <c r="AG146" t="s">
        <v>46</v>
      </c>
      <c r="AH146" t="s">
        <v>61</v>
      </c>
      <c r="AI146" t="s">
        <v>48</v>
      </c>
      <c r="AJ146" t="s">
        <v>62</v>
      </c>
      <c r="AK146" t="s">
        <v>63</v>
      </c>
      <c r="AL146" t="s">
        <v>376</v>
      </c>
      <c r="AM146" t="s">
        <v>46</v>
      </c>
      <c r="AN146" t="s">
        <v>60</v>
      </c>
      <c r="AO146" t="s">
        <v>62</v>
      </c>
      <c r="AP146" t="s">
        <v>444</v>
      </c>
      <c r="AQ146" t="s">
        <v>66</v>
      </c>
      <c r="AR146" t="s">
        <v>67</v>
      </c>
    </row>
    <row r="147" spans="1:44">
      <c r="A147" s="1">
        <v>45427</v>
      </c>
      <c r="B147" s="2">
        <v>0.2396412037037037</v>
      </c>
      <c r="C147" t="s">
        <v>44</v>
      </c>
      <c r="D147" t="s">
        <v>45</v>
      </c>
      <c r="E147">
        <v>0.69</v>
      </c>
      <c r="F147" t="s">
        <v>46</v>
      </c>
      <c r="G147" t="s">
        <v>47</v>
      </c>
      <c r="H147" t="s">
        <v>45</v>
      </c>
      <c r="I147">
        <v>0.3085</v>
      </c>
      <c r="J147" t="s">
        <v>46</v>
      </c>
      <c r="K147" t="s">
        <v>48</v>
      </c>
      <c r="L147" t="s">
        <v>49</v>
      </c>
      <c r="M147" t="s">
        <v>50</v>
      </c>
      <c r="N147" t="s">
        <v>51</v>
      </c>
      <c r="O147">
        <v>3.45</v>
      </c>
      <c r="P147">
        <v>8.26</v>
      </c>
      <c r="Q147" t="s">
        <v>46</v>
      </c>
      <c r="R147" t="s">
        <v>52</v>
      </c>
      <c r="S147" t="s">
        <v>53</v>
      </c>
      <c r="T147" t="s">
        <v>46</v>
      </c>
      <c r="U147" t="s">
        <v>54</v>
      </c>
      <c r="V147" t="s">
        <v>55</v>
      </c>
      <c r="W147" t="s">
        <v>317</v>
      </c>
      <c r="X147" t="s">
        <v>92</v>
      </c>
      <c r="Y147">
        <v>1.26</v>
      </c>
      <c r="Z147" t="s">
        <v>46</v>
      </c>
      <c r="AA147" t="s">
        <v>58</v>
      </c>
      <c r="AB147" t="s">
        <v>59</v>
      </c>
      <c r="AC147">
        <v>283</v>
      </c>
      <c r="AD147" t="s">
        <v>46</v>
      </c>
      <c r="AE147" t="s">
        <v>60</v>
      </c>
      <c r="AF147" t="s">
        <v>45</v>
      </c>
      <c r="AG147" t="s">
        <v>46</v>
      </c>
      <c r="AH147" t="s">
        <v>61</v>
      </c>
      <c r="AI147" t="s">
        <v>48</v>
      </c>
      <c r="AJ147" t="s">
        <v>62</v>
      </c>
      <c r="AK147" t="s">
        <v>63</v>
      </c>
      <c r="AL147" t="s">
        <v>376</v>
      </c>
      <c r="AM147" t="s">
        <v>46</v>
      </c>
      <c r="AN147" t="s">
        <v>60</v>
      </c>
      <c r="AO147" t="s">
        <v>62</v>
      </c>
      <c r="AP147" t="s">
        <v>445</v>
      </c>
      <c r="AQ147" t="s">
        <v>66</v>
      </c>
      <c r="AR147" t="s">
        <v>67</v>
      </c>
    </row>
    <row r="148" spans="1:44">
      <c r="A148" s="1">
        <v>45427</v>
      </c>
      <c r="B148" s="2">
        <v>0.2396875</v>
      </c>
      <c r="C148" t="s">
        <v>44</v>
      </c>
      <c r="D148" t="s">
        <v>45</v>
      </c>
      <c r="E148">
        <v>0.48499999999999999</v>
      </c>
      <c r="F148" t="s">
        <v>46</v>
      </c>
      <c r="G148" t="s">
        <v>47</v>
      </c>
      <c r="H148" t="s">
        <v>45</v>
      </c>
      <c r="I148">
        <v>0.30859999999999999</v>
      </c>
      <c r="J148" t="s">
        <v>46</v>
      </c>
      <c r="K148" t="s">
        <v>48</v>
      </c>
      <c r="L148" t="s">
        <v>49</v>
      </c>
      <c r="M148" t="s">
        <v>50</v>
      </c>
      <c r="N148" t="s">
        <v>51</v>
      </c>
      <c r="O148">
        <v>3.45</v>
      </c>
      <c r="P148">
        <v>8.26</v>
      </c>
      <c r="Q148" t="s">
        <v>46</v>
      </c>
      <c r="R148" t="s">
        <v>52</v>
      </c>
      <c r="S148" t="s">
        <v>53</v>
      </c>
      <c r="T148" t="s">
        <v>46</v>
      </c>
      <c r="U148" t="s">
        <v>54</v>
      </c>
      <c r="V148" t="s">
        <v>55</v>
      </c>
      <c r="W148" t="s">
        <v>297</v>
      </c>
      <c r="X148" t="s">
        <v>403</v>
      </c>
      <c r="Y148">
        <v>1.27</v>
      </c>
      <c r="Z148" t="s">
        <v>46</v>
      </c>
      <c r="AA148" t="s">
        <v>58</v>
      </c>
      <c r="AB148" t="s">
        <v>59</v>
      </c>
      <c r="AC148">
        <v>283</v>
      </c>
      <c r="AD148" t="s">
        <v>46</v>
      </c>
      <c r="AE148" t="s">
        <v>60</v>
      </c>
      <c r="AF148" t="s">
        <v>45</v>
      </c>
      <c r="AG148" t="s">
        <v>46</v>
      </c>
      <c r="AH148" t="s">
        <v>61</v>
      </c>
      <c r="AI148" t="s">
        <v>48</v>
      </c>
      <c r="AJ148" t="s">
        <v>62</v>
      </c>
      <c r="AK148" t="s">
        <v>63</v>
      </c>
      <c r="AL148" t="s">
        <v>376</v>
      </c>
      <c r="AM148" t="s">
        <v>46</v>
      </c>
      <c r="AN148" t="s">
        <v>60</v>
      </c>
      <c r="AO148" t="s">
        <v>62</v>
      </c>
      <c r="AP148" t="s">
        <v>446</v>
      </c>
      <c r="AQ148" t="s">
        <v>66</v>
      </c>
      <c r="AR148" t="s">
        <v>67</v>
      </c>
    </row>
    <row r="149" spans="1:44">
      <c r="A149" s="1">
        <v>45427</v>
      </c>
      <c r="B149" s="2">
        <v>0.23974537037037036</v>
      </c>
      <c r="C149" t="s">
        <v>44</v>
      </c>
      <c r="D149" t="s">
        <v>45</v>
      </c>
      <c r="E149">
        <v>0.57099999999999995</v>
      </c>
      <c r="F149" t="s">
        <v>46</v>
      </c>
      <c r="G149" t="s">
        <v>47</v>
      </c>
      <c r="H149" t="s">
        <v>45</v>
      </c>
      <c r="I149">
        <v>0.30869999999999997</v>
      </c>
      <c r="J149" t="s">
        <v>46</v>
      </c>
      <c r="K149" t="s">
        <v>48</v>
      </c>
      <c r="L149" t="s">
        <v>49</v>
      </c>
      <c r="M149" t="s">
        <v>50</v>
      </c>
      <c r="N149" t="s">
        <v>51</v>
      </c>
      <c r="O149">
        <v>3.45</v>
      </c>
      <c r="P149">
        <v>8.26</v>
      </c>
      <c r="Q149" t="s">
        <v>46</v>
      </c>
      <c r="R149" t="s">
        <v>52</v>
      </c>
      <c r="S149" t="s">
        <v>53</v>
      </c>
      <c r="T149" t="s">
        <v>46</v>
      </c>
      <c r="U149" t="s">
        <v>54</v>
      </c>
      <c r="V149" t="s">
        <v>55</v>
      </c>
      <c r="W149" t="s">
        <v>300</v>
      </c>
      <c r="X149" t="s">
        <v>405</v>
      </c>
      <c r="Y149">
        <v>1.27</v>
      </c>
      <c r="Z149" t="s">
        <v>46</v>
      </c>
      <c r="AA149" t="s">
        <v>58</v>
      </c>
      <c r="AB149" t="s">
        <v>59</v>
      </c>
      <c r="AC149">
        <v>283</v>
      </c>
      <c r="AD149" t="s">
        <v>46</v>
      </c>
      <c r="AE149" t="s">
        <v>60</v>
      </c>
      <c r="AF149" t="s">
        <v>45</v>
      </c>
      <c r="AG149" t="s">
        <v>46</v>
      </c>
      <c r="AH149" t="s">
        <v>61</v>
      </c>
      <c r="AI149" t="s">
        <v>48</v>
      </c>
      <c r="AJ149" t="s">
        <v>62</v>
      </c>
      <c r="AK149" t="s">
        <v>63</v>
      </c>
      <c r="AL149" t="s">
        <v>376</v>
      </c>
      <c r="AM149" t="s">
        <v>46</v>
      </c>
      <c r="AN149" t="s">
        <v>60</v>
      </c>
      <c r="AO149" t="s">
        <v>62</v>
      </c>
      <c r="AP149" t="s">
        <v>447</v>
      </c>
      <c r="AQ149" t="s">
        <v>66</v>
      </c>
      <c r="AR149" t="s">
        <v>67</v>
      </c>
    </row>
    <row r="150" spans="1:44">
      <c r="A150" s="1">
        <v>45427</v>
      </c>
      <c r="B150" s="2">
        <v>0.23979166666666665</v>
      </c>
      <c r="C150" t="s">
        <v>44</v>
      </c>
      <c r="D150" t="s">
        <v>45</v>
      </c>
      <c r="E150">
        <v>0.97099999999999997</v>
      </c>
      <c r="F150" t="s">
        <v>46</v>
      </c>
      <c r="G150" t="s">
        <v>47</v>
      </c>
      <c r="H150" t="s">
        <v>45</v>
      </c>
      <c r="I150">
        <v>0.30859999999999999</v>
      </c>
      <c r="J150" t="s">
        <v>46</v>
      </c>
      <c r="K150" t="s">
        <v>48</v>
      </c>
      <c r="L150" t="s">
        <v>49</v>
      </c>
      <c r="M150" t="s">
        <v>50</v>
      </c>
      <c r="N150" t="s">
        <v>51</v>
      </c>
      <c r="O150">
        <v>3.45</v>
      </c>
      <c r="P150">
        <v>8.26</v>
      </c>
      <c r="Q150" t="s">
        <v>46</v>
      </c>
      <c r="R150" t="s">
        <v>52</v>
      </c>
      <c r="S150" t="s">
        <v>53</v>
      </c>
      <c r="T150" t="s">
        <v>46</v>
      </c>
      <c r="U150" t="s">
        <v>54</v>
      </c>
      <c r="V150" t="s">
        <v>55</v>
      </c>
      <c r="W150" t="s">
        <v>85</v>
      </c>
      <c r="X150" t="s">
        <v>405</v>
      </c>
      <c r="Y150">
        <v>1.27</v>
      </c>
      <c r="Z150" t="s">
        <v>46</v>
      </c>
      <c r="AA150" t="s">
        <v>58</v>
      </c>
      <c r="AB150" t="s">
        <v>59</v>
      </c>
      <c r="AC150">
        <v>284</v>
      </c>
      <c r="AD150" t="s">
        <v>46</v>
      </c>
      <c r="AE150" t="s">
        <v>60</v>
      </c>
      <c r="AF150" t="s">
        <v>45</v>
      </c>
      <c r="AG150" t="s">
        <v>46</v>
      </c>
      <c r="AH150" t="s">
        <v>61</v>
      </c>
      <c r="AI150" t="s">
        <v>48</v>
      </c>
      <c r="AJ150" t="s">
        <v>62</v>
      </c>
      <c r="AK150" t="s">
        <v>63</v>
      </c>
      <c r="AL150" t="s">
        <v>376</v>
      </c>
      <c r="AM150" t="s">
        <v>46</v>
      </c>
      <c r="AN150" t="s">
        <v>60</v>
      </c>
      <c r="AO150" t="s">
        <v>62</v>
      </c>
      <c r="AP150" t="s">
        <v>448</v>
      </c>
      <c r="AQ150" t="s">
        <v>66</v>
      </c>
      <c r="AR150" t="s">
        <v>67</v>
      </c>
    </row>
    <row r="151" spans="1:44">
      <c r="A151" s="1">
        <v>45427</v>
      </c>
      <c r="B151" s="2">
        <v>0.23983796296296298</v>
      </c>
      <c r="C151" t="s">
        <v>44</v>
      </c>
      <c r="D151" t="s">
        <v>45</v>
      </c>
      <c r="E151">
        <v>0.5</v>
      </c>
      <c r="F151" t="s">
        <v>46</v>
      </c>
      <c r="G151" t="s">
        <v>47</v>
      </c>
      <c r="H151" t="s">
        <v>45</v>
      </c>
      <c r="I151">
        <v>0.30880000000000002</v>
      </c>
      <c r="J151" t="s">
        <v>46</v>
      </c>
      <c r="K151" t="s">
        <v>48</v>
      </c>
      <c r="L151" t="s">
        <v>49</v>
      </c>
      <c r="M151" t="s">
        <v>50</v>
      </c>
      <c r="N151" t="s">
        <v>51</v>
      </c>
      <c r="O151">
        <v>3.45</v>
      </c>
      <c r="P151">
        <v>8.26</v>
      </c>
      <c r="Q151" t="s">
        <v>46</v>
      </c>
      <c r="R151" t="s">
        <v>52</v>
      </c>
      <c r="S151" t="s">
        <v>53</v>
      </c>
      <c r="T151" t="s">
        <v>46</v>
      </c>
      <c r="U151" t="s">
        <v>54</v>
      </c>
      <c r="V151" t="s">
        <v>55</v>
      </c>
      <c r="W151" t="s">
        <v>88</v>
      </c>
      <c r="X151" t="s">
        <v>405</v>
      </c>
      <c r="Y151">
        <v>1.27</v>
      </c>
      <c r="Z151" t="s">
        <v>46</v>
      </c>
      <c r="AA151" t="s">
        <v>58</v>
      </c>
      <c r="AB151" t="s">
        <v>59</v>
      </c>
      <c r="AC151">
        <v>283</v>
      </c>
      <c r="AD151" t="s">
        <v>46</v>
      </c>
      <c r="AE151" t="s">
        <v>60</v>
      </c>
      <c r="AF151" t="s">
        <v>45</v>
      </c>
      <c r="AG151" t="s">
        <v>46</v>
      </c>
      <c r="AH151" t="s">
        <v>61</v>
      </c>
      <c r="AI151" t="s">
        <v>48</v>
      </c>
      <c r="AJ151" t="s">
        <v>62</v>
      </c>
      <c r="AK151" t="s">
        <v>63</v>
      </c>
      <c r="AL151" t="s">
        <v>376</v>
      </c>
      <c r="AM151" t="s">
        <v>46</v>
      </c>
      <c r="AN151" t="s">
        <v>60</v>
      </c>
      <c r="AO151" t="s">
        <v>62</v>
      </c>
      <c r="AP151" t="s">
        <v>449</v>
      </c>
      <c r="AQ151" t="s">
        <v>66</v>
      </c>
      <c r="AR151" t="s">
        <v>67</v>
      </c>
    </row>
    <row r="152" spans="1:44">
      <c r="A152" s="1">
        <v>45427</v>
      </c>
      <c r="B152" s="2">
        <v>0.23988425925925927</v>
      </c>
      <c r="C152" t="s">
        <v>44</v>
      </c>
      <c r="D152" t="s">
        <v>45</v>
      </c>
      <c r="E152">
        <v>0.56200000000000006</v>
      </c>
      <c r="F152" t="s">
        <v>46</v>
      </c>
      <c r="G152" t="s">
        <v>47</v>
      </c>
      <c r="H152" t="s">
        <v>45</v>
      </c>
      <c r="I152">
        <v>0.30869999999999997</v>
      </c>
      <c r="J152" t="s">
        <v>46</v>
      </c>
      <c r="K152" t="s">
        <v>48</v>
      </c>
      <c r="L152" t="s">
        <v>49</v>
      </c>
      <c r="M152" t="s">
        <v>50</v>
      </c>
      <c r="N152" t="s">
        <v>51</v>
      </c>
      <c r="O152">
        <v>3.45</v>
      </c>
      <c r="P152">
        <v>8.26</v>
      </c>
      <c r="Q152" t="s">
        <v>46</v>
      </c>
      <c r="R152" t="s">
        <v>52</v>
      </c>
      <c r="S152" t="s">
        <v>53</v>
      </c>
      <c r="T152" t="s">
        <v>46</v>
      </c>
      <c r="U152" t="s">
        <v>54</v>
      </c>
      <c r="V152" t="s">
        <v>55</v>
      </c>
      <c r="W152" t="s">
        <v>88</v>
      </c>
      <c r="X152" t="s">
        <v>405</v>
      </c>
      <c r="Y152">
        <v>1.27</v>
      </c>
      <c r="Z152" t="s">
        <v>46</v>
      </c>
      <c r="AA152" t="s">
        <v>58</v>
      </c>
      <c r="AB152" t="s">
        <v>59</v>
      </c>
      <c r="AC152">
        <v>283</v>
      </c>
      <c r="AD152" t="s">
        <v>46</v>
      </c>
      <c r="AE152" t="s">
        <v>60</v>
      </c>
      <c r="AF152" t="s">
        <v>45</v>
      </c>
      <c r="AG152" t="s">
        <v>46</v>
      </c>
      <c r="AH152" t="s">
        <v>61</v>
      </c>
      <c r="AI152" t="s">
        <v>48</v>
      </c>
      <c r="AJ152" t="s">
        <v>62</v>
      </c>
      <c r="AK152" t="s">
        <v>63</v>
      </c>
      <c r="AL152" t="s">
        <v>376</v>
      </c>
      <c r="AM152" t="s">
        <v>46</v>
      </c>
      <c r="AN152" t="s">
        <v>60</v>
      </c>
      <c r="AO152" t="s">
        <v>62</v>
      </c>
      <c r="AP152" t="s">
        <v>450</v>
      </c>
      <c r="AQ152" t="s">
        <v>66</v>
      </c>
      <c r="AR152" t="s">
        <v>67</v>
      </c>
    </row>
    <row r="153" spans="1:44">
      <c r="A153" s="1">
        <v>45427</v>
      </c>
      <c r="B153" s="2">
        <v>0.23994212962962963</v>
      </c>
      <c r="C153" t="s">
        <v>44</v>
      </c>
      <c r="D153" t="s">
        <v>45</v>
      </c>
      <c r="E153">
        <v>0.88200000000000001</v>
      </c>
      <c r="F153" t="s">
        <v>46</v>
      </c>
      <c r="G153" t="s">
        <v>47</v>
      </c>
      <c r="H153" t="s">
        <v>45</v>
      </c>
      <c r="I153">
        <v>0.30890000000000001</v>
      </c>
      <c r="J153" t="s">
        <v>46</v>
      </c>
      <c r="K153" t="s">
        <v>48</v>
      </c>
      <c r="L153" t="s">
        <v>49</v>
      </c>
      <c r="M153" t="s">
        <v>50</v>
      </c>
      <c r="N153" t="s">
        <v>51</v>
      </c>
      <c r="O153">
        <v>3.45</v>
      </c>
      <c r="P153">
        <v>8.26</v>
      </c>
      <c r="Q153" t="s">
        <v>46</v>
      </c>
      <c r="R153" t="s">
        <v>52</v>
      </c>
      <c r="S153" t="s">
        <v>53</v>
      </c>
      <c r="T153" t="s">
        <v>46</v>
      </c>
      <c r="U153" t="s">
        <v>54</v>
      </c>
      <c r="V153" t="s">
        <v>55</v>
      </c>
      <c r="W153" t="s">
        <v>350</v>
      </c>
      <c r="X153" t="s">
        <v>405</v>
      </c>
      <c r="Y153">
        <v>1.26</v>
      </c>
      <c r="Z153" t="s">
        <v>46</v>
      </c>
      <c r="AA153" t="s">
        <v>58</v>
      </c>
      <c r="AB153" t="s">
        <v>59</v>
      </c>
      <c r="AC153">
        <v>283</v>
      </c>
      <c r="AD153" t="s">
        <v>46</v>
      </c>
      <c r="AE153" t="s">
        <v>60</v>
      </c>
      <c r="AF153" t="s">
        <v>45</v>
      </c>
      <c r="AG153" t="s">
        <v>46</v>
      </c>
      <c r="AH153" t="s">
        <v>61</v>
      </c>
      <c r="AI153" t="s">
        <v>48</v>
      </c>
      <c r="AJ153" t="s">
        <v>62</v>
      </c>
      <c r="AK153" t="s">
        <v>63</v>
      </c>
      <c r="AL153" t="s">
        <v>376</v>
      </c>
      <c r="AM153" t="s">
        <v>46</v>
      </c>
      <c r="AN153" t="s">
        <v>60</v>
      </c>
      <c r="AO153" t="s">
        <v>62</v>
      </c>
      <c r="AP153" t="s">
        <v>451</v>
      </c>
      <c r="AQ153" t="s">
        <v>66</v>
      </c>
      <c r="AR153" t="s">
        <v>67</v>
      </c>
    </row>
    <row r="154" spans="1:44">
      <c r="A154" s="1">
        <v>45427</v>
      </c>
      <c r="B154" s="2">
        <v>0.23998842592592592</v>
      </c>
      <c r="C154" t="s">
        <v>44</v>
      </c>
      <c r="D154" t="s">
        <v>45</v>
      </c>
      <c r="E154">
        <v>0.5</v>
      </c>
      <c r="F154" t="s">
        <v>46</v>
      </c>
      <c r="G154" t="s">
        <v>47</v>
      </c>
      <c r="H154" t="s">
        <v>45</v>
      </c>
      <c r="I154">
        <v>0.30880000000000002</v>
      </c>
      <c r="J154" t="s">
        <v>46</v>
      </c>
      <c r="K154" t="s">
        <v>48</v>
      </c>
      <c r="L154" t="s">
        <v>49</v>
      </c>
      <c r="M154" t="s">
        <v>50</v>
      </c>
      <c r="N154" t="s">
        <v>51</v>
      </c>
      <c r="O154">
        <v>3.45</v>
      </c>
      <c r="P154">
        <v>8.26</v>
      </c>
      <c r="Q154" t="s">
        <v>46</v>
      </c>
      <c r="R154" t="s">
        <v>52</v>
      </c>
      <c r="S154" t="s">
        <v>53</v>
      </c>
      <c r="T154" t="s">
        <v>46</v>
      </c>
      <c r="U154" t="s">
        <v>54</v>
      </c>
      <c r="V154" t="s">
        <v>55</v>
      </c>
      <c r="W154" t="s">
        <v>114</v>
      </c>
      <c r="X154" t="s">
        <v>106</v>
      </c>
      <c r="Y154">
        <v>1.26</v>
      </c>
      <c r="Z154" t="s">
        <v>46</v>
      </c>
      <c r="AA154" t="s">
        <v>58</v>
      </c>
      <c r="AB154" t="s">
        <v>59</v>
      </c>
      <c r="AC154">
        <v>283</v>
      </c>
      <c r="AD154" t="s">
        <v>46</v>
      </c>
      <c r="AE154" t="s">
        <v>60</v>
      </c>
      <c r="AF154" t="s">
        <v>45</v>
      </c>
      <c r="AG154" t="s">
        <v>46</v>
      </c>
      <c r="AH154" t="s">
        <v>61</v>
      </c>
      <c r="AI154" t="s">
        <v>48</v>
      </c>
      <c r="AJ154" t="s">
        <v>62</v>
      </c>
      <c r="AK154" t="s">
        <v>63</v>
      </c>
      <c r="AL154" t="s">
        <v>376</v>
      </c>
      <c r="AM154" t="s">
        <v>46</v>
      </c>
      <c r="AN154" t="s">
        <v>60</v>
      </c>
      <c r="AO154" t="s">
        <v>62</v>
      </c>
      <c r="AP154" t="s">
        <v>452</v>
      </c>
      <c r="AQ154" t="s">
        <v>66</v>
      </c>
      <c r="AR154" t="s">
        <v>67</v>
      </c>
    </row>
    <row r="155" spans="1:44">
      <c r="A155" s="1">
        <v>45427</v>
      </c>
      <c r="B155" s="2">
        <v>0.24003472222222222</v>
      </c>
      <c r="C155" t="s">
        <v>44</v>
      </c>
      <c r="D155" t="s">
        <v>45</v>
      </c>
      <c r="E155">
        <v>0.875</v>
      </c>
      <c r="F155" t="s">
        <v>46</v>
      </c>
      <c r="G155" t="s">
        <v>47</v>
      </c>
      <c r="H155" t="s">
        <v>45</v>
      </c>
      <c r="I155">
        <v>0.30880000000000002</v>
      </c>
      <c r="J155" t="s">
        <v>46</v>
      </c>
      <c r="K155" t="s">
        <v>48</v>
      </c>
      <c r="L155" t="s">
        <v>49</v>
      </c>
      <c r="M155" t="s">
        <v>50</v>
      </c>
      <c r="N155" t="s">
        <v>51</v>
      </c>
      <c r="O155">
        <v>3.45</v>
      </c>
      <c r="P155">
        <v>8.26</v>
      </c>
      <c r="Q155" t="s">
        <v>46</v>
      </c>
      <c r="R155" t="s">
        <v>52</v>
      </c>
      <c r="S155" t="s">
        <v>53</v>
      </c>
      <c r="T155" t="s">
        <v>46</v>
      </c>
      <c r="U155" t="s">
        <v>54</v>
      </c>
      <c r="V155" t="s">
        <v>55</v>
      </c>
      <c r="W155" t="s">
        <v>355</v>
      </c>
      <c r="X155" t="s">
        <v>92</v>
      </c>
      <c r="Y155">
        <v>1.26</v>
      </c>
      <c r="Z155" t="s">
        <v>46</v>
      </c>
      <c r="AA155" t="s">
        <v>58</v>
      </c>
      <c r="AB155" t="s">
        <v>59</v>
      </c>
      <c r="AC155">
        <v>284</v>
      </c>
      <c r="AD155" t="s">
        <v>46</v>
      </c>
      <c r="AE155" t="s">
        <v>60</v>
      </c>
      <c r="AF155" t="s">
        <v>45</v>
      </c>
      <c r="AG155" t="s">
        <v>46</v>
      </c>
      <c r="AH155" t="s">
        <v>61</v>
      </c>
      <c r="AI155" t="s">
        <v>48</v>
      </c>
      <c r="AJ155" t="s">
        <v>62</v>
      </c>
      <c r="AK155" t="s">
        <v>63</v>
      </c>
      <c r="AL155" t="s">
        <v>376</v>
      </c>
      <c r="AM155" t="s">
        <v>46</v>
      </c>
      <c r="AN155" t="s">
        <v>60</v>
      </c>
      <c r="AO155" t="s">
        <v>62</v>
      </c>
      <c r="AP155" t="s">
        <v>453</v>
      </c>
      <c r="AQ155" t="s">
        <v>66</v>
      </c>
      <c r="AR155" t="s">
        <v>67</v>
      </c>
    </row>
    <row r="156" spans="1:44">
      <c r="A156" s="1">
        <v>45427</v>
      </c>
      <c r="B156" s="2">
        <v>0.24008101851851851</v>
      </c>
      <c r="C156" t="s">
        <v>44</v>
      </c>
      <c r="D156" t="s">
        <v>45</v>
      </c>
      <c r="E156">
        <v>0.71</v>
      </c>
      <c r="F156" t="s">
        <v>46</v>
      </c>
      <c r="G156" t="s">
        <v>47</v>
      </c>
      <c r="H156" t="s">
        <v>45</v>
      </c>
      <c r="I156">
        <v>0.30869999999999997</v>
      </c>
      <c r="J156" t="s">
        <v>46</v>
      </c>
      <c r="K156" t="s">
        <v>48</v>
      </c>
      <c r="L156" t="s">
        <v>49</v>
      </c>
      <c r="M156" t="s">
        <v>50</v>
      </c>
      <c r="N156" t="s">
        <v>51</v>
      </c>
      <c r="O156">
        <v>3.45</v>
      </c>
      <c r="P156">
        <v>8.26</v>
      </c>
      <c r="Q156" t="s">
        <v>46</v>
      </c>
      <c r="R156" t="s">
        <v>52</v>
      </c>
      <c r="S156" t="s">
        <v>53</v>
      </c>
      <c r="T156" t="s">
        <v>46</v>
      </c>
      <c r="U156" t="s">
        <v>54</v>
      </c>
      <c r="V156" t="s">
        <v>55</v>
      </c>
      <c r="W156" t="s">
        <v>335</v>
      </c>
      <c r="X156" t="s">
        <v>92</v>
      </c>
      <c r="Y156">
        <v>1.25</v>
      </c>
      <c r="Z156" t="s">
        <v>46</v>
      </c>
      <c r="AA156" t="s">
        <v>58</v>
      </c>
      <c r="AB156" t="s">
        <v>59</v>
      </c>
      <c r="AC156">
        <v>283</v>
      </c>
      <c r="AD156" t="s">
        <v>46</v>
      </c>
      <c r="AE156" t="s">
        <v>60</v>
      </c>
      <c r="AF156" t="s">
        <v>45</v>
      </c>
      <c r="AG156" t="s">
        <v>46</v>
      </c>
      <c r="AH156" t="s">
        <v>61</v>
      </c>
      <c r="AI156" t="s">
        <v>48</v>
      </c>
      <c r="AJ156" t="s">
        <v>62</v>
      </c>
      <c r="AK156" t="s">
        <v>63</v>
      </c>
      <c r="AL156" t="s">
        <v>376</v>
      </c>
      <c r="AM156" t="s">
        <v>46</v>
      </c>
      <c r="AN156" t="s">
        <v>60</v>
      </c>
      <c r="AO156" t="s">
        <v>62</v>
      </c>
      <c r="AP156" t="s">
        <v>454</v>
      </c>
      <c r="AQ156" t="s">
        <v>66</v>
      </c>
      <c r="AR156" t="s">
        <v>67</v>
      </c>
    </row>
    <row r="157" spans="1:44">
      <c r="A157" s="1">
        <v>45427</v>
      </c>
      <c r="B157" s="2">
        <v>0.2401388888888889</v>
      </c>
      <c r="C157" t="s">
        <v>44</v>
      </c>
      <c r="D157" t="s">
        <v>45</v>
      </c>
      <c r="E157">
        <v>0.57899999999999996</v>
      </c>
      <c r="F157" t="s">
        <v>46</v>
      </c>
      <c r="G157" t="s">
        <v>47</v>
      </c>
      <c r="H157" t="s">
        <v>45</v>
      </c>
      <c r="I157">
        <v>0.30869999999999997</v>
      </c>
      <c r="J157" t="s">
        <v>46</v>
      </c>
      <c r="K157" t="s">
        <v>48</v>
      </c>
      <c r="L157" t="s">
        <v>49</v>
      </c>
      <c r="M157" t="s">
        <v>50</v>
      </c>
      <c r="N157" t="s">
        <v>51</v>
      </c>
      <c r="O157">
        <v>3.45</v>
      </c>
      <c r="P157">
        <v>8.26</v>
      </c>
      <c r="Q157" t="s">
        <v>46</v>
      </c>
      <c r="R157" t="s">
        <v>52</v>
      </c>
      <c r="S157" t="s">
        <v>53</v>
      </c>
      <c r="T157" t="s">
        <v>46</v>
      </c>
      <c r="U157" t="s">
        <v>54</v>
      </c>
      <c r="V157" t="s">
        <v>55</v>
      </c>
      <c r="W157" t="s">
        <v>119</v>
      </c>
      <c r="X157" t="s">
        <v>92</v>
      </c>
      <c r="Y157">
        <v>1.25</v>
      </c>
      <c r="Z157" t="s">
        <v>46</v>
      </c>
      <c r="AA157" t="s">
        <v>58</v>
      </c>
      <c r="AB157" t="s">
        <v>59</v>
      </c>
      <c r="AC157">
        <v>283</v>
      </c>
      <c r="AD157" t="s">
        <v>46</v>
      </c>
      <c r="AE157" t="s">
        <v>60</v>
      </c>
      <c r="AF157" t="s">
        <v>45</v>
      </c>
      <c r="AG157" t="s">
        <v>46</v>
      </c>
      <c r="AH157" t="s">
        <v>61</v>
      </c>
      <c r="AI157" t="s">
        <v>48</v>
      </c>
      <c r="AJ157" t="s">
        <v>62</v>
      </c>
      <c r="AK157" t="s">
        <v>63</v>
      </c>
      <c r="AL157" t="s">
        <v>376</v>
      </c>
      <c r="AM157" t="s">
        <v>46</v>
      </c>
      <c r="AN157" t="s">
        <v>60</v>
      </c>
      <c r="AO157" t="s">
        <v>62</v>
      </c>
      <c r="AP157" t="s">
        <v>455</v>
      </c>
      <c r="AQ157" t="s">
        <v>66</v>
      </c>
      <c r="AR157" t="s">
        <v>67</v>
      </c>
    </row>
    <row r="158" spans="1:44">
      <c r="A158" s="1">
        <v>45427</v>
      </c>
      <c r="B158" s="2">
        <v>0.2401851851851852</v>
      </c>
      <c r="C158" t="s">
        <v>44</v>
      </c>
      <c r="D158" t="s">
        <v>45</v>
      </c>
      <c r="E158">
        <v>0.54500000000000004</v>
      </c>
      <c r="F158" t="s">
        <v>46</v>
      </c>
      <c r="G158" t="s">
        <v>47</v>
      </c>
      <c r="H158" t="s">
        <v>45</v>
      </c>
      <c r="I158">
        <v>0.30890000000000001</v>
      </c>
      <c r="J158" t="s">
        <v>46</v>
      </c>
      <c r="K158" t="s">
        <v>48</v>
      </c>
      <c r="L158" t="s">
        <v>49</v>
      </c>
      <c r="M158" t="s">
        <v>50</v>
      </c>
      <c r="N158" t="s">
        <v>51</v>
      </c>
      <c r="O158">
        <v>3.45</v>
      </c>
      <c r="P158">
        <v>8.26</v>
      </c>
      <c r="Q158" t="s">
        <v>46</v>
      </c>
      <c r="R158" t="s">
        <v>52</v>
      </c>
      <c r="S158" t="s">
        <v>53</v>
      </c>
      <c r="T158" t="s">
        <v>46</v>
      </c>
      <c r="U158" t="s">
        <v>54</v>
      </c>
      <c r="V158" t="s">
        <v>55</v>
      </c>
      <c r="W158" t="s">
        <v>119</v>
      </c>
      <c r="X158" t="s">
        <v>92</v>
      </c>
      <c r="Y158">
        <v>1.25</v>
      </c>
      <c r="Z158" t="s">
        <v>46</v>
      </c>
      <c r="AA158" t="s">
        <v>58</v>
      </c>
      <c r="AB158" t="s">
        <v>59</v>
      </c>
      <c r="AC158">
        <v>283</v>
      </c>
      <c r="AD158" t="s">
        <v>46</v>
      </c>
      <c r="AE158" t="s">
        <v>60</v>
      </c>
      <c r="AF158" t="s">
        <v>45</v>
      </c>
      <c r="AG158" t="s">
        <v>46</v>
      </c>
      <c r="AH158" t="s">
        <v>61</v>
      </c>
      <c r="AI158" t="s">
        <v>48</v>
      </c>
      <c r="AJ158" t="s">
        <v>62</v>
      </c>
      <c r="AK158" t="s">
        <v>63</v>
      </c>
      <c r="AL158" t="s">
        <v>376</v>
      </c>
      <c r="AM158" t="s">
        <v>46</v>
      </c>
      <c r="AN158" t="s">
        <v>60</v>
      </c>
      <c r="AO158" t="s">
        <v>62</v>
      </c>
      <c r="AP158" t="s">
        <v>456</v>
      </c>
      <c r="AQ158" t="s">
        <v>66</v>
      </c>
      <c r="AR158" t="s">
        <v>67</v>
      </c>
    </row>
    <row r="159" spans="1:44">
      <c r="A159" s="1">
        <v>45427</v>
      </c>
      <c r="B159" s="2">
        <v>0.24023148148148149</v>
      </c>
      <c r="C159" t="s">
        <v>44</v>
      </c>
      <c r="D159" t="s">
        <v>45</v>
      </c>
      <c r="E159">
        <v>0.77100000000000002</v>
      </c>
      <c r="F159" t="s">
        <v>46</v>
      </c>
      <c r="G159" t="s">
        <v>47</v>
      </c>
      <c r="H159" t="s">
        <v>45</v>
      </c>
      <c r="I159">
        <v>0.30880000000000002</v>
      </c>
      <c r="J159" t="s">
        <v>46</v>
      </c>
      <c r="K159" t="s">
        <v>48</v>
      </c>
      <c r="L159" t="s">
        <v>49</v>
      </c>
      <c r="M159" t="s">
        <v>50</v>
      </c>
      <c r="N159" t="s">
        <v>51</v>
      </c>
      <c r="O159">
        <v>3.45</v>
      </c>
      <c r="P159">
        <v>8.26</v>
      </c>
      <c r="Q159" t="s">
        <v>46</v>
      </c>
      <c r="R159" t="s">
        <v>52</v>
      </c>
      <c r="S159" t="s">
        <v>53</v>
      </c>
      <c r="T159" t="s">
        <v>46</v>
      </c>
      <c r="U159" t="s">
        <v>54</v>
      </c>
      <c r="V159" t="s">
        <v>55</v>
      </c>
      <c r="W159" t="s">
        <v>85</v>
      </c>
      <c r="X159" t="s">
        <v>405</v>
      </c>
      <c r="Y159">
        <v>1.26</v>
      </c>
      <c r="Z159" t="s">
        <v>46</v>
      </c>
      <c r="AA159" t="s">
        <v>58</v>
      </c>
      <c r="AB159" t="s">
        <v>59</v>
      </c>
      <c r="AC159">
        <v>283</v>
      </c>
      <c r="AD159" t="s">
        <v>46</v>
      </c>
      <c r="AE159" t="s">
        <v>60</v>
      </c>
      <c r="AF159" t="s">
        <v>45</v>
      </c>
      <c r="AG159" t="s">
        <v>46</v>
      </c>
      <c r="AH159" t="s">
        <v>61</v>
      </c>
      <c r="AI159" t="s">
        <v>48</v>
      </c>
      <c r="AJ159" t="s">
        <v>62</v>
      </c>
      <c r="AK159" t="s">
        <v>63</v>
      </c>
      <c r="AL159" t="s">
        <v>376</v>
      </c>
      <c r="AM159" t="s">
        <v>46</v>
      </c>
      <c r="AN159" t="s">
        <v>60</v>
      </c>
      <c r="AO159" t="s">
        <v>62</v>
      </c>
      <c r="AP159" t="s">
        <v>457</v>
      </c>
      <c r="AQ159" t="s">
        <v>66</v>
      </c>
      <c r="AR159" t="s">
        <v>67</v>
      </c>
    </row>
    <row r="160" spans="1:44">
      <c r="A160" s="1">
        <v>45427</v>
      </c>
      <c r="B160" s="2">
        <v>0.24027777777777778</v>
      </c>
      <c r="C160" t="s">
        <v>44</v>
      </c>
      <c r="D160" t="s">
        <v>45</v>
      </c>
      <c r="E160">
        <v>0.51600000000000001</v>
      </c>
      <c r="F160" t="s">
        <v>46</v>
      </c>
      <c r="G160" t="s">
        <v>47</v>
      </c>
      <c r="H160" t="s">
        <v>45</v>
      </c>
      <c r="I160">
        <v>0.30880000000000002</v>
      </c>
      <c r="J160" t="s">
        <v>46</v>
      </c>
      <c r="K160" t="s">
        <v>48</v>
      </c>
      <c r="L160" t="s">
        <v>49</v>
      </c>
      <c r="M160" t="s">
        <v>50</v>
      </c>
      <c r="N160" t="s">
        <v>51</v>
      </c>
      <c r="O160">
        <v>3.45</v>
      </c>
      <c r="P160">
        <v>8.26</v>
      </c>
      <c r="Q160" t="s">
        <v>46</v>
      </c>
      <c r="R160" t="s">
        <v>52</v>
      </c>
      <c r="S160" t="s">
        <v>53</v>
      </c>
      <c r="T160" t="s">
        <v>46</v>
      </c>
      <c r="U160" t="s">
        <v>54</v>
      </c>
      <c r="V160" t="s">
        <v>55</v>
      </c>
      <c r="W160" t="s">
        <v>88</v>
      </c>
      <c r="X160" t="s">
        <v>405</v>
      </c>
      <c r="Y160">
        <v>1.26</v>
      </c>
      <c r="Z160" t="s">
        <v>46</v>
      </c>
      <c r="AA160" t="s">
        <v>58</v>
      </c>
      <c r="AB160" t="s">
        <v>59</v>
      </c>
      <c r="AC160">
        <v>283</v>
      </c>
      <c r="AD160" t="s">
        <v>46</v>
      </c>
      <c r="AE160" t="s">
        <v>60</v>
      </c>
      <c r="AF160" t="s">
        <v>45</v>
      </c>
      <c r="AG160" t="s">
        <v>46</v>
      </c>
      <c r="AH160" t="s">
        <v>61</v>
      </c>
      <c r="AI160" t="s">
        <v>48</v>
      </c>
      <c r="AJ160" t="s">
        <v>62</v>
      </c>
      <c r="AK160" t="s">
        <v>63</v>
      </c>
      <c r="AL160" t="s">
        <v>376</v>
      </c>
      <c r="AM160" t="s">
        <v>46</v>
      </c>
      <c r="AN160" t="s">
        <v>60</v>
      </c>
      <c r="AO160" t="s">
        <v>62</v>
      </c>
      <c r="AP160" t="s">
        <v>458</v>
      </c>
      <c r="AQ160" t="s">
        <v>66</v>
      </c>
      <c r="AR160" t="s">
        <v>67</v>
      </c>
    </row>
    <row r="161" spans="1:44">
      <c r="A161" s="1">
        <v>45427</v>
      </c>
      <c r="B161" s="2">
        <v>0.24033564814814815</v>
      </c>
      <c r="C161" t="s">
        <v>44</v>
      </c>
      <c r="D161" t="s">
        <v>45</v>
      </c>
      <c r="E161">
        <v>0.48599999999999999</v>
      </c>
      <c r="F161" t="s">
        <v>46</v>
      </c>
      <c r="G161" t="s">
        <v>47</v>
      </c>
      <c r="H161" t="s">
        <v>45</v>
      </c>
      <c r="I161">
        <v>0.30880000000000002</v>
      </c>
      <c r="J161" t="s">
        <v>46</v>
      </c>
      <c r="K161" t="s">
        <v>48</v>
      </c>
      <c r="L161" t="s">
        <v>49</v>
      </c>
      <c r="M161" t="s">
        <v>50</v>
      </c>
      <c r="N161" t="s">
        <v>51</v>
      </c>
      <c r="O161">
        <v>3.45</v>
      </c>
      <c r="P161">
        <v>8.26</v>
      </c>
      <c r="Q161" t="s">
        <v>46</v>
      </c>
      <c r="R161" t="s">
        <v>52</v>
      </c>
      <c r="S161" t="s">
        <v>53</v>
      </c>
      <c r="T161" t="s">
        <v>46</v>
      </c>
      <c r="U161" t="s">
        <v>54</v>
      </c>
      <c r="V161" t="s">
        <v>55</v>
      </c>
      <c r="W161" t="s">
        <v>112</v>
      </c>
      <c r="X161" t="s">
        <v>403</v>
      </c>
      <c r="Y161">
        <v>1.27</v>
      </c>
      <c r="Z161" t="s">
        <v>46</v>
      </c>
      <c r="AA161" t="s">
        <v>58</v>
      </c>
      <c r="AB161" t="s">
        <v>59</v>
      </c>
      <c r="AC161">
        <v>283</v>
      </c>
      <c r="AD161" t="s">
        <v>46</v>
      </c>
      <c r="AE161" t="s">
        <v>60</v>
      </c>
      <c r="AF161" t="s">
        <v>45</v>
      </c>
      <c r="AG161" t="s">
        <v>46</v>
      </c>
      <c r="AH161" t="s">
        <v>61</v>
      </c>
      <c r="AI161" t="s">
        <v>48</v>
      </c>
      <c r="AJ161" t="s">
        <v>62</v>
      </c>
      <c r="AK161" t="s">
        <v>63</v>
      </c>
      <c r="AL161" t="s">
        <v>376</v>
      </c>
      <c r="AM161" t="s">
        <v>46</v>
      </c>
      <c r="AN161" t="s">
        <v>60</v>
      </c>
      <c r="AO161" t="s">
        <v>62</v>
      </c>
      <c r="AP161" t="s">
        <v>459</v>
      </c>
      <c r="AQ161" t="s">
        <v>66</v>
      </c>
      <c r="AR161" t="s">
        <v>67</v>
      </c>
    </row>
    <row r="162" spans="1:44">
      <c r="A162" s="1">
        <v>45427</v>
      </c>
      <c r="B162" s="2">
        <v>0.24038194444444444</v>
      </c>
      <c r="C162" t="s">
        <v>44</v>
      </c>
      <c r="D162" t="s">
        <v>45</v>
      </c>
      <c r="E162">
        <v>0.71899999999999997</v>
      </c>
      <c r="F162" t="s">
        <v>46</v>
      </c>
      <c r="G162" t="s">
        <v>47</v>
      </c>
      <c r="H162" t="s">
        <v>45</v>
      </c>
      <c r="I162">
        <v>0.30869999999999997</v>
      </c>
      <c r="J162" t="s">
        <v>46</v>
      </c>
      <c r="K162" t="s">
        <v>48</v>
      </c>
      <c r="L162" t="s">
        <v>49</v>
      </c>
      <c r="M162" t="s">
        <v>50</v>
      </c>
      <c r="N162" t="s">
        <v>51</v>
      </c>
      <c r="O162">
        <v>3.45</v>
      </c>
      <c r="P162">
        <v>8.26</v>
      </c>
      <c r="Q162" t="s">
        <v>46</v>
      </c>
      <c r="R162" t="s">
        <v>52</v>
      </c>
      <c r="S162" t="s">
        <v>53</v>
      </c>
      <c r="T162" t="s">
        <v>46</v>
      </c>
      <c r="U162" t="s">
        <v>54</v>
      </c>
      <c r="V162" t="s">
        <v>55</v>
      </c>
      <c r="W162" t="s">
        <v>460</v>
      </c>
      <c r="X162" t="s">
        <v>350</v>
      </c>
      <c r="Y162">
        <v>1.28</v>
      </c>
      <c r="Z162" t="s">
        <v>46</v>
      </c>
      <c r="AA162" t="s">
        <v>58</v>
      </c>
      <c r="AB162" t="s">
        <v>59</v>
      </c>
      <c r="AC162">
        <v>283</v>
      </c>
      <c r="AD162" t="s">
        <v>46</v>
      </c>
      <c r="AE162" t="s">
        <v>60</v>
      </c>
      <c r="AF162" t="s">
        <v>45</v>
      </c>
      <c r="AG162" t="s">
        <v>46</v>
      </c>
      <c r="AH162" t="s">
        <v>61</v>
      </c>
      <c r="AI162" t="s">
        <v>48</v>
      </c>
      <c r="AJ162" t="s">
        <v>62</v>
      </c>
      <c r="AK162" t="s">
        <v>63</v>
      </c>
      <c r="AL162" t="s">
        <v>376</v>
      </c>
      <c r="AM162" t="s">
        <v>46</v>
      </c>
      <c r="AN162" t="s">
        <v>60</v>
      </c>
      <c r="AO162" t="s">
        <v>62</v>
      </c>
      <c r="AP162" t="s">
        <v>461</v>
      </c>
      <c r="AQ162" t="s">
        <v>66</v>
      </c>
      <c r="AR162" t="s">
        <v>67</v>
      </c>
    </row>
    <row r="163" spans="1:44">
      <c r="A163" s="1">
        <v>45427</v>
      </c>
      <c r="B163" s="2">
        <v>0.24042824074074073</v>
      </c>
      <c r="C163" t="s">
        <v>44</v>
      </c>
      <c r="D163" t="s">
        <v>45</v>
      </c>
      <c r="E163">
        <v>0.5</v>
      </c>
      <c r="F163" t="s">
        <v>46</v>
      </c>
      <c r="G163" t="s">
        <v>47</v>
      </c>
      <c r="H163" t="s">
        <v>45</v>
      </c>
      <c r="I163">
        <v>0.30869999999999997</v>
      </c>
      <c r="J163" t="s">
        <v>46</v>
      </c>
      <c r="K163" t="s">
        <v>48</v>
      </c>
      <c r="L163" t="s">
        <v>49</v>
      </c>
      <c r="M163" t="s">
        <v>50</v>
      </c>
      <c r="N163" t="s">
        <v>51</v>
      </c>
      <c r="O163">
        <v>3.45</v>
      </c>
      <c r="P163">
        <v>8.26</v>
      </c>
      <c r="Q163" t="s">
        <v>46</v>
      </c>
      <c r="R163" t="s">
        <v>52</v>
      </c>
      <c r="S163" t="s">
        <v>53</v>
      </c>
      <c r="T163" t="s">
        <v>46</v>
      </c>
      <c r="U163" t="s">
        <v>54</v>
      </c>
      <c r="V163" t="s">
        <v>55</v>
      </c>
      <c r="W163" t="s">
        <v>462</v>
      </c>
      <c r="X163" t="s">
        <v>85</v>
      </c>
      <c r="Y163">
        <v>1.29</v>
      </c>
      <c r="Z163" t="s">
        <v>46</v>
      </c>
      <c r="AA163" t="s">
        <v>58</v>
      </c>
      <c r="AB163" t="s">
        <v>59</v>
      </c>
      <c r="AC163">
        <v>283</v>
      </c>
      <c r="AD163" t="s">
        <v>46</v>
      </c>
      <c r="AE163" t="s">
        <v>60</v>
      </c>
      <c r="AF163" t="s">
        <v>45</v>
      </c>
      <c r="AG163" t="s">
        <v>46</v>
      </c>
      <c r="AH163" t="s">
        <v>61</v>
      </c>
      <c r="AI163" t="s">
        <v>48</v>
      </c>
      <c r="AJ163" t="s">
        <v>62</v>
      </c>
      <c r="AK163" t="s">
        <v>63</v>
      </c>
      <c r="AL163" t="s">
        <v>376</v>
      </c>
      <c r="AM163" t="s">
        <v>46</v>
      </c>
      <c r="AN163" t="s">
        <v>60</v>
      </c>
      <c r="AO163" t="s">
        <v>62</v>
      </c>
      <c r="AP163" t="s">
        <v>463</v>
      </c>
      <c r="AQ163" t="s">
        <v>66</v>
      </c>
      <c r="AR163" t="s">
        <v>67</v>
      </c>
    </row>
    <row r="164" spans="1:44">
      <c r="A164" s="1">
        <v>45427</v>
      </c>
      <c r="B164" s="2">
        <v>0.24047453703703703</v>
      </c>
      <c r="C164" t="s">
        <v>44</v>
      </c>
      <c r="D164" t="s">
        <v>45</v>
      </c>
      <c r="E164">
        <v>0.85299999999999998</v>
      </c>
      <c r="F164" t="s">
        <v>46</v>
      </c>
      <c r="G164" t="s">
        <v>47</v>
      </c>
      <c r="H164" t="s">
        <v>45</v>
      </c>
      <c r="I164">
        <v>0.30830000000000002</v>
      </c>
      <c r="J164" t="s">
        <v>46</v>
      </c>
      <c r="K164" t="s">
        <v>48</v>
      </c>
      <c r="L164" t="s">
        <v>49</v>
      </c>
      <c r="M164" t="s">
        <v>50</v>
      </c>
      <c r="N164" t="s">
        <v>51</v>
      </c>
      <c r="O164">
        <v>3.45</v>
      </c>
      <c r="P164">
        <v>8.26</v>
      </c>
      <c r="Q164" t="s">
        <v>46</v>
      </c>
      <c r="R164" t="s">
        <v>52</v>
      </c>
      <c r="S164" t="s">
        <v>53</v>
      </c>
      <c r="T164" t="s">
        <v>46</v>
      </c>
      <c r="U164" t="s">
        <v>54</v>
      </c>
      <c r="V164" t="s">
        <v>55</v>
      </c>
      <c r="W164" t="s">
        <v>77</v>
      </c>
      <c r="X164" t="s">
        <v>85</v>
      </c>
      <c r="Y164">
        <v>1.29</v>
      </c>
      <c r="Z164" t="s">
        <v>46</v>
      </c>
      <c r="AA164" t="s">
        <v>58</v>
      </c>
      <c r="AB164" t="s">
        <v>59</v>
      </c>
      <c r="AC164">
        <v>283</v>
      </c>
      <c r="AD164" t="s">
        <v>46</v>
      </c>
      <c r="AE164" t="s">
        <v>60</v>
      </c>
      <c r="AF164" t="s">
        <v>45</v>
      </c>
      <c r="AG164" t="s">
        <v>46</v>
      </c>
      <c r="AH164" t="s">
        <v>61</v>
      </c>
      <c r="AI164" t="s">
        <v>48</v>
      </c>
      <c r="AJ164" t="s">
        <v>62</v>
      </c>
      <c r="AK164" t="s">
        <v>63</v>
      </c>
      <c r="AL164" t="s">
        <v>376</v>
      </c>
      <c r="AM164" t="s">
        <v>46</v>
      </c>
      <c r="AN164" t="s">
        <v>60</v>
      </c>
      <c r="AO164" t="s">
        <v>62</v>
      </c>
      <c r="AP164" t="s">
        <v>464</v>
      </c>
      <c r="AQ164" t="s">
        <v>66</v>
      </c>
      <c r="AR164" t="s">
        <v>67</v>
      </c>
    </row>
    <row r="165" spans="1:44">
      <c r="A165" s="1">
        <v>45427</v>
      </c>
      <c r="B165" s="2">
        <v>0.24053240740740742</v>
      </c>
      <c r="C165" t="s">
        <v>44</v>
      </c>
      <c r="D165" t="s">
        <v>45</v>
      </c>
      <c r="E165">
        <v>0.65600000000000003</v>
      </c>
      <c r="F165" t="s">
        <v>46</v>
      </c>
      <c r="G165" t="s">
        <v>47</v>
      </c>
      <c r="H165" t="s">
        <v>45</v>
      </c>
      <c r="I165">
        <v>0.30869999999999997</v>
      </c>
      <c r="J165" t="s">
        <v>46</v>
      </c>
      <c r="K165" t="s">
        <v>48</v>
      </c>
      <c r="L165" t="s">
        <v>49</v>
      </c>
      <c r="M165" t="s">
        <v>50</v>
      </c>
      <c r="N165" t="s">
        <v>51</v>
      </c>
      <c r="O165">
        <v>3.45</v>
      </c>
      <c r="P165">
        <v>8.26</v>
      </c>
      <c r="Q165" t="s">
        <v>46</v>
      </c>
      <c r="R165" t="s">
        <v>52</v>
      </c>
      <c r="S165" t="s">
        <v>53</v>
      </c>
      <c r="T165" t="s">
        <v>46</v>
      </c>
      <c r="U165" t="s">
        <v>54</v>
      </c>
      <c r="V165" t="s">
        <v>55</v>
      </c>
      <c r="W165" t="s">
        <v>77</v>
      </c>
      <c r="X165" t="s">
        <v>85</v>
      </c>
      <c r="Y165">
        <v>1.29</v>
      </c>
      <c r="Z165" t="s">
        <v>46</v>
      </c>
      <c r="AA165" t="s">
        <v>58</v>
      </c>
      <c r="AB165" t="s">
        <v>59</v>
      </c>
      <c r="AC165">
        <v>283</v>
      </c>
      <c r="AD165" t="s">
        <v>46</v>
      </c>
      <c r="AE165" t="s">
        <v>60</v>
      </c>
      <c r="AF165" t="s">
        <v>45</v>
      </c>
      <c r="AG165" t="s">
        <v>46</v>
      </c>
      <c r="AH165" t="s">
        <v>61</v>
      </c>
      <c r="AI165" t="s">
        <v>48</v>
      </c>
      <c r="AJ165" t="s">
        <v>62</v>
      </c>
      <c r="AK165" t="s">
        <v>63</v>
      </c>
      <c r="AL165" t="s">
        <v>376</v>
      </c>
      <c r="AM165" t="s">
        <v>46</v>
      </c>
      <c r="AN165" t="s">
        <v>60</v>
      </c>
      <c r="AO165" t="s">
        <v>62</v>
      </c>
      <c r="AP165" t="s">
        <v>465</v>
      </c>
      <c r="AQ165" t="s">
        <v>66</v>
      </c>
      <c r="AR165" t="s">
        <v>67</v>
      </c>
    </row>
    <row r="166" spans="1:44">
      <c r="A166" s="1">
        <v>45427</v>
      </c>
      <c r="B166" s="2">
        <v>0.24057870370370371</v>
      </c>
      <c r="C166" t="s">
        <v>44</v>
      </c>
      <c r="D166" t="s">
        <v>45</v>
      </c>
      <c r="E166">
        <v>0.51500000000000001</v>
      </c>
      <c r="F166" t="s">
        <v>46</v>
      </c>
      <c r="G166" t="s">
        <v>47</v>
      </c>
      <c r="H166" t="s">
        <v>45</v>
      </c>
      <c r="I166">
        <v>0.30869999999999997</v>
      </c>
      <c r="J166" t="s">
        <v>46</v>
      </c>
      <c r="K166" t="s">
        <v>48</v>
      </c>
      <c r="L166" t="s">
        <v>49</v>
      </c>
      <c r="M166" t="s">
        <v>50</v>
      </c>
      <c r="N166" t="s">
        <v>51</v>
      </c>
      <c r="O166">
        <v>3.45</v>
      </c>
      <c r="P166">
        <v>8.26</v>
      </c>
      <c r="Q166" t="s">
        <v>46</v>
      </c>
      <c r="R166" t="s">
        <v>52</v>
      </c>
      <c r="S166" t="s">
        <v>53</v>
      </c>
      <c r="T166" t="s">
        <v>46</v>
      </c>
      <c r="U166" t="s">
        <v>54</v>
      </c>
      <c r="V166" t="s">
        <v>55</v>
      </c>
      <c r="W166" t="s">
        <v>168</v>
      </c>
      <c r="X166" t="s">
        <v>85</v>
      </c>
      <c r="Y166">
        <v>1.29</v>
      </c>
      <c r="Z166" t="s">
        <v>46</v>
      </c>
      <c r="AA166" t="s">
        <v>58</v>
      </c>
      <c r="AB166" t="s">
        <v>59</v>
      </c>
      <c r="AC166">
        <v>283</v>
      </c>
      <c r="AD166" t="s">
        <v>46</v>
      </c>
      <c r="AE166" t="s">
        <v>60</v>
      </c>
      <c r="AF166" t="s">
        <v>45</v>
      </c>
      <c r="AG166" t="s">
        <v>46</v>
      </c>
      <c r="AH166" t="s">
        <v>61</v>
      </c>
      <c r="AI166" t="s">
        <v>48</v>
      </c>
      <c r="AJ166" t="s">
        <v>62</v>
      </c>
      <c r="AK166" t="s">
        <v>63</v>
      </c>
      <c r="AL166" t="s">
        <v>376</v>
      </c>
      <c r="AM166" t="s">
        <v>46</v>
      </c>
      <c r="AN166" t="s">
        <v>60</v>
      </c>
      <c r="AO166" t="s">
        <v>62</v>
      </c>
      <c r="AP166" t="s">
        <v>466</v>
      </c>
      <c r="AQ166" t="s">
        <v>66</v>
      </c>
      <c r="AR166" t="s">
        <v>67</v>
      </c>
    </row>
    <row r="167" spans="1:44">
      <c r="A167" s="1">
        <v>45427</v>
      </c>
      <c r="B167" s="2">
        <v>0.24062500000000001</v>
      </c>
      <c r="C167" t="s">
        <v>44</v>
      </c>
      <c r="D167" t="s">
        <v>45</v>
      </c>
      <c r="E167">
        <v>0.53100000000000003</v>
      </c>
      <c r="F167" t="s">
        <v>46</v>
      </c>
      <c r="G167" t="s">
        <v>47</v>
      </c>
      <c r="H167" t="s">
        <v>45</v>
      </c>
      <c r="I167">
        <v>0.30890000000000001</v>
      </c>
      <c r="J167" t="s">
        <v>46</v>
      </c>
      <c r="K167" t="s">
        <v>48</v>
      </c>
      <c r="L167" t="s">
        <v>49</v>
      </c>
      <c r="M167" t="s">
        <v>50</v>
      </c>
      <c r="N167" t="s">
        <v>51</v>
      </c>
      <c r="O167">
        <v>3.45</v>
      </c>
      <c r="P167">
        <v>8.26</v>
      </c>
      <c r="Q167" t="s">
        <v>46</v>
      </c>
      <c r="R167" t="s">
        <v>52</v>
      </c>
      <c r="S167" t="s">
        <v>53</v>
      </c>
      <c r="T167" t="s">
        <v>46</v>
      </c>
      <c r="U167" t="s">
        <v>54</v>
      </c>
      <c r="V167" t="s">
        <v>55</v>
      </c>
      <c r="W167" t="s">
        <v>203</v>
      </c>
      <c r="X167" t="s">
        <v>380</v>
      </c>
      <c r="Y167">
        <v>1.28</v>
      </c>
      <c r="Z167" t="s">
        <v>46</v>
      </c>
      <c r="AA167" t="s">
        <v>58</v>
      </c>
      <c r="AB167" t="s">
        <v>59</v>
      </c>
      <c r="AC167">
        <v>283</v>
      </c>
      <c r="AD167" t="s">
        <v>46</v>
      </c>
      <c r="AE167" t="s">
        <v>60</v>
      </c>
      <c r="AF167" t="s">
        <v>45</v>
      </c>
      <c r="AG167" t="s">
        <v>46</v>
      </c>
      <c r="AH167" t="s">
        <v>61</v>
      </c>
      <c r="AI167" t="s">
        <v>48</v>
      </c>
      <c r="AJ167" t="s">
        <v>62</v>
      </c>
      <c r="AK167" t="s">
        <v>63</v>
      </c>
      <c r="AL167" t="s">
        <v>376</v>
      </c>
      <c r="AM167" t="s">
        <v>46</v>
      </c>
      <c r="AN167" t="s">
        <v>60</v>
      </c>
      <c r="AO167" t="s">
        <v>62</v>
      </c>
      <c r="AP167" t="s">
        <v>467</v>
      </c>
      <c r="AQ167" t="s">
        <v>66</v>
      </c>
      <c r="AR167" t="s">
        <v>67</v>
      </c>
    </row>
    <row r="168" spans="1:44">
      <c r="A168" s="1">
        <v>45427</v>
      </c>
      <c r="B168" s="2">
        <v>0.2406712962962963</v>
      </c>
      <c r="C168" t="s">
        <v>44</v>
      </c>
      <c r="D168" t="s">
        <v>45</v>
      </c>
      <c r="E168">
        <v>1</v>
      </c>
      <c r="F168" t="s">
        <v>46</v>
      </c>
      <c r="G168" t="s">
        <v>47</v>
      </c>
      <c r="H168" t="s">
        <v>45</v>
      </c>
      <c r="I168">
        <v>0.30880000000000002</v>
      </c>
      <c r="J168" t="s">
        <v>46</v>
      </c>
      <c r="K168" t="s">
        <v>48</v>
      </c>
      <c r="L168" t="s">
        <v>49</v>
      </c>
      <c r="M168" t="s">
        <v>50</v>
      </c>
      <c r="N168" t="s">
        <v>51</v>
      </c>
      <c r="O168">
        <v>3.45</v>
      </c>
      <c r="P168">
        <v>8.26</v>
      </c>
      <c r="Q168" t="s">
        <v>46</v>
      </c>
      <c r="R168" t="s">
        <v>52</v>
      </c>
      <c r="S168" t="s">
        <v>53</v>
      </c>
      <c r="T168" t="s">
        <v>46</v>
      </c>
      <c r="U168" t="s">
        <v>54</v>
      </c>
      <c r="V168" t="s">
        <v>55</v>
      </c>
      <c r="W168" t="s">
        <v>168</v>
      </c>
      <c r="X168" t="s">
        <v>85</v>
      </c>
      <c r="Y168">
        <v>1.29</v>
      </c>
      <c r="Z168" t="s">
        <v>46</v>
      </c>
      <c r="AA168" t="s">
        <v>58</v>
      </c>
      <c r="AB168" t="s">
        <v>59</v>
      </c>
      <c r="AC168">
        <v>283</v>
      </c>
      <c r="AD168" t="s">
        <v>46</v>
      </c>
      <c r="AE168" t="s">
        <v>60</v>
      </c>
      <c r="AF168" t="s">
        <v>45</v>
      </c>
      <c r="AG168" t="s">
        <v>46</v>
      </c>
      <c r="AH168" t="s">
        <v>61</v>
      </c>
      <c r="AI168" t="s">
        <v>48</v>
      </c>
      <c r="AJ168" t="s">
        <v>62</v>
      </c>
      <c r="AK168" t="s">
        <v>63</v>
      </c>
      <c r="AL168" t="s">
        <v>376</v>
      </c>
      <c r="AM168" t="s">
        <v>46</v>
      </c>
      <c r="AN168" t="s">
        <v>60</v>
      </c>
      <c r="AO168" t="s">
        <v>62</v>
      </c>
      <c r="AP168" t="s">
        <v>468</v>
      </c>
      <c r="AQ168" t="s">
        <v>66</v>
      </c>
      <c r="AR168" t="s">
        <v>67</v>
      </c>
    </row>
    <row r="169" spans="1:44">
      <c r="A169" s="1">
        <v>45427</v>
      </c>
      <c r="B169" s="2">
        <v>0.24072916666666666</v>
      </c>
      <c r="C169" t="s">
        <v>44</v>
      </c>
      <c r="D169" t="s">
        <v>45</v>
      </c>
      <c r="E169">
        <v>0.68799999999999994</v>
      </c>
      <c r="F169" t="s">
        <v>46</v>
      </c>
      <c r="G169" t="s">
        <v>47</v>
      </c>
      <c r="H169" t="s">
        <v>45</v>
      </c>
      <c r="I169">
        <v>0.30880000000000002</v>
      </c>
      <c r="J169" t="s">
        <v>46</v>
      </c>
      <c r="K169" t="s">
        <v>48</v>
      </c>
      <c r="L169" t="s">
        <v>49</v>
      </c>
      <c r="M169" t="s">
        <v>50</v>
      </c>
      <c r="N169" t="s">
        <v>51</v>
      </c>
      <c r="O169">
        <v>3.45</v>
      </c>
      <c r="P169">
        <v>8.26</v>
      </c>
      <c r="Q169" t="s">
        <v>46</v>
      </c>
      <c r="R169" t="s">
        <v>52</v>
      </c>
      <c r="S169" t="s">
        <v>53</v>
      </c>
      <c r="T169" t="s">
        <v>46</v>
      </c>
      <c r="U169" t="s">
        <v>54</v>
      </c>
      <c r="V169" t="s">
        <v>55</v>
      </c>
      <c r="W169" t="s">
        <v>77</v>
      </c>
      <c r="X169" t="s">
        <v>300</v>
      </c>
      <c r="Y169">
        <v>1.29</v>
      </c>
      <c r="Z169" t="s">
        <v>46</v>
      </c>
      <c r="AA169" t="s">
        <v>58</v>
      </c>
      <c r="AB169" t="s">
        <v>59</v>
      </c>
      <c r="AC169">
        <v>283</v>
      </c>
      <c r="AD169" t="s">
        <v>46</v>
      </c>
      <c r="AE169" t="s">
        <v>60</v>
      </c>
      <c r="AF169" t="s">
        <v>45</v>
      </c>
      <c r="AG169" t="s">
        <v>46</v>
      </c>
      <c r="AH169" t="s">
        <v>61</v>
      </c>
      <c r="AI169" t="s">
        <v>48</v>
      </c>
      <c r="AJ169" t="s">
        <v>62</v>
      </c>
      <c r="AK169" t="s">
        <v>63</v>
      </c>
      <c r="AL169" t="s">
        <v>376</v>
      </c>
      <c r="AM169" t="s">
        <v>46</v>
      </c>
      <c r="AN169" t="s">
        <v>60</v>
      </c>
      <c r="AO169" t="s">
        <v>62</v>
      </c>
      <c r="AP169" t="s">
        <v>469</v>
      </c>
      <c r="AQ169" t="s">
        <v>66</v>
      </c>
      <c r="AR169" t="s">
        <v>67</v>
      </c>
    </row>
    <row r="170" spans="1:44">
      <c r="A170" s="1">
        <v>45427</v>
      </c>
      <c r="B170" s="2">
        <v>0.24077546296296296</v>
      </c>
      <c r="C170" t="s">
        <v>44</v>
      </c>
      <c r="D170" t="s">
        <v>45</v>
      </c>
      <c r="E170">
        <v>0.57599999999999996</v>
      </c>
      <c r="F170" t="s">
        <v>46</v>
      </c>
      <c r="G170" t="s">
        <v>47</v>
      </c>
      <c r="H170" t="s">
        <v>45</v>
      </c>
      <c r="I170">
        <v>0.30890000000000001</v>
      </c>
      <c r="J170" t="s">
        <v>46</v>
      </c>
      <c r="K170" t="s">
        <v>48</v>
      </c>
      <c r="L170" t="s">
        <v>49</v>
      </c>
      <c r="M170" t="s">
        <v>50</v>
      </c>
      <c r="N170" t="s">
        <v>51</v>
      </c>
      <c r="O170">
        <v>3.45</v>
      </c>
      <c r="P170">
        <v>8.26</v>
      </c>
      <c r="Q170" t="s">
        <v>46</v>
      </c>
      <c r="R170" t="s">
        <v>52</v>
      </c>
      <c r="S170" t="s">
        <v>53</v>
      </c>
      <c r="T170" t="s">
        <v>46</v>
      </c>
      <c r="U170" t="s">
        <v>54</v>
      </c>
      <c r="V170" t="s">
        <v>55</v>
      </c>
      <c r="W170" t="s">
        <v>146</v>
      </c>
      <c r="X170" t="s">
        <v>358</v>
      </c>
      <c r="Y170">
        <v>1.29</v>
      </c>
      <c r="Z170" t="s">
        <v>46</v>
      </c>
      <c r="AA170" t="s">
        <v>58</v>
      </c>
      <c r="AB170" t="s">
        <v>59</v>
      </c>
      <c r="AC170">
        <v>283</v>
      </c>
      <c r="AD170" t="s">
        <v>46</v>
      </c>
      <c r="AE170" t="s">
        <v>60</v>
      </c>
      <c r="AF170" t="s">
        <v>45</v>
      </c>
      <c r="AG170" t="s">
        <v>46</v>
      </c>
      <c r="AH170" t="s">
        <v>61</v>
      </c>
      <c r="AI170" t="s">
        <v>48</v>
      </c>
      <c r="AJ170" t="s">
        <v>62</v>
      </c>
      <c r="AK170" t="s">
        <v>63</v>
      </c>
      <c r="AL170" t="s">
        <v>376</v>
      </c>
      <c r="AM170" t="s">
        <v>46</v>
      </c>
      <c r="AN170" t="s">
        <v>60</v>
      </c>
      <c r="AO170" t="s">
        <v>62</v>
      </c>
      <c r="AP170" t="s">
        <v>470</v>
      </c>
      <c r="AQ170" t="s">
        <v>66</v>
      </c>
      <c r="AR170" t="s">
        <v>67</v>
      </c>
    </row>
    <row r="171" spans="1:44">
      <c r="A171" s="1">
        <v>45427</v>
      </c>
      <c r="B171" s="2">
        <v>0.24082175925925925</v>
      </c>
      <c r="C171" t="s">
        <v>44</v>
      </c>
      <c r="D171" t="s">
        <v>45</v>
      </c>
      <c r="E171">
        <v>0.73499999999999999</v>
      </c>
      <c r="F171" t="s">
        <v>46</v>
      </c>
      <c r="G171" t="s">
        <v>47</v>
      </c>
      <c r="H171" t="s">
        <v>45</v>
      </c>
      <c r="I171">
        <v>0.309</v>
      </c>
      <c r="J171" t="s">
        <v>46</v>
      </c>
      <c r="K171" t="s">
        <v>48</v>
      </c>
      <c r="L171" t="s">
        <v>49</v>
      </c>
      <c r="M171" t="s">
        <v>50</v>
      </c>
      <c r="N171" t="s">
        <v>51</v>
      </c>
      <c r="O171">
        <v>3.45</v>
      </c>
      <c r="P171">
        <v>8.26</v>
      </c>
      <c r="Q171" t="s">
        <v>46</v>
      </c>
      <c r="R171" t="s">
        <v>52</v>
      </c>
      <c r="S171" t="s">
        <v>53</v>
      </c>
      <c r="T171" t="s">
        <v>46</v>
      </c>
      <c r="U171" t="s">
        <v>54</v>
      </c>
      <c r="V171" t="s">
        <v>55</v>
      </c>
      <c r="W171" t="s">
        <v>174</v>
      </c>
      <c r="X171" t="s">
        <v>154</v>
      </c>
      <c r="Y171">
        <v>1.29</v>
      </c>
      <c r="Z171" t="s">
        <v>46</v>
      </c>
      <c r="AA171" t="s">
        <v>58</v>
      </c>
      <c r="AB171" t="s">
        <v>59</v>
      </c>
      <c r="AC171">
        <v>283</v>
      </c>
      <c r="AD171" t="s">
        <v>46</v>
      </c>
      <c r="AE171" t="s">
        <v>60</v>
      </c>
      <c r="AF171" t="s">
        <v>45</v>
      </c>
      <c r="AG171" t="s">
        <v>46</v>
      </c>
      <c r="AH171" t="s">
        <v>61</v>
      </c>
      <c r="AI171" t="s">
        <v>48</v>
      </c>
      <c r="AJ171" t="s">
        <v>62</v>
      </c>
      <c r="AK171" t="s">
        <v>63</v>
      </c>
      <c r="AL171" t="s">
        <v>376</v>
      </c>
      <c r="AM171" t="s">
        <v>46</v>
      </c>
      <c r="AN171" t="s">
        <v>60</v>
      </c>
      <c r="AO171" t="s">
        <v>62</v>
      </c>
      <c r="AP171" t="s">
        <v>471</v>
      </c>
      <c r="AQ171" t="s">
        <v>66</v>
      </c>
      <c r="AR171" t="s">
        <v>67</v>
      </c>
    </row>
    <row r="172" spans="1:44">
      <c r="A172" s="1">
        <v>45427</v>
      </c>
      <c r="B172" s="2">
        <v>0.24086805555555554</v>
      </c>
      <c r="C172" t="s">
        <v>44</v>
      </c>
      <c r="D172" t="s">
        <v>45</v>
      </c>
      <c r="E172">
        <v>0.5</v>
      </c>
      <c r="F172" t="s">
        <v>46</v>
      </c>
      <c r="G172" t="s">
        <v>47</v>
      </c>
      <c r="H172" t="s">
        <v>45</v>
      </c>
      <c r="I172">
        <v>0.309</v>
      </c>
      <c r="J172" t="s">
        <v>46</v>
      </c>
      <c r="K172" t="s">
        <v>48</v>
      </c>
      <c r="L172" t="s">
        <v>49</v>
      </c>
      <c r="M172" t="s">
        <v>50</v>
      </c>
      <c r="N172" t="s">
        <v>51</v>
      </c>
      <c r="O172">
        <v>3.45</v>
      </c>
      <c r="P172">
        <v>8.26</v>
      </c>
      <c r="Q172" t="s">
        <v>46</v>
      </c>
      <c r="R172" t="s">
        <v>52</v>
      </c>
      <c r="S172" t="s">
        <v>53</v>
      </c>
      <c r="T172" t="s">
        <v>46</v>
      </c>
      <c r="U172" t="s">
        <v>54</v>
      </c>
      <c r="V172" t="s">
        <v>55</v>
      </c>
      <c r="W172" t="s">
        <v>174</v>
      </c>
      <c r="X172" t="s">
        <v>154</v>
      </c>
      <c r="Y172">
        <v>1.29</v>
      </c>
      <c r="Z172" t="s">
        <v>46</v>
      </c>
      <c r="AA172" t="s">
        <v>58</v>
      </c>
      <c r="AB172" t="s">
        <v>59</v>
      </c>
      <c r="AC172">
        <v>283</v>
      </c>
      <c r="AD172" t="s">
        <v>46</v>
      </c>
      <c r="AE172" t="s">
        <v>60</v>
      </c>
      <c r="AF172" t="s">
        <v>45</v>
      </c>
      <c r="AG172" t="s">
        <v>46</v>
      </c>
      <c r="AH172" t="s">
        <v>61</v>
      </c>
      <c r="AI172" t="s">
        <v>48</v>
      </c>
      <c r="AJ172" t="s">
        <v>62</v>
      </c>
      <c r="AK172" t="s">
        <v>63</v>
      </c>
      <c r="AL172" t="s">
        <v>376</v>
      </c>
      <c r="AM172" t="s">
        <v>46</v>
      </c>
      <c r="AN172" t="s">
        <v>60</v>
      </c>
      <c r="AO172" t="s">
        <v>62</v>
      </c>
      <c r="AP172" t="s">
        <v>472</v>
      </c>
      <c r="AQ172" t="s">
        <v>66</v>
      </c>
      <c r="AR172" t="s">
        <v>67</v>
      </c>
    </row>
    <row r="173" spans="1:44">
      <c r="A173" s="1">
        <v>45427</v>
      </c>
      <c r="B173" s="2">
        <v>0.24092592592592593</v>
      </c>
      <c r="C173" t="s">
        <v>44</v>
      </c>
      <c r="D173" t="s">
        <v>45</v>
      </c>
      <c r="E173">
        <v>0.53100000000000003</v>
      </c>
      <c r="F173" t="s">
        <v>46</v>
      </c>
      <c r="G173" t="s">
        <v>47</v>
      </c>
      <c r="H173" t="s">
        <v>45</v>
      </c>
      <c r="I173">
        <v>0.30890000000000001</v>
      </c>
      <c r="J173" t="s">
        <v>46</v>
      </c>
      <c r="K173" t="s">
        <v>48</v>
      </c>
      <c r="L173" t="s">
        <v>49</v>
      </c>
      <c r="M173" t="s">
        <v>50</v>
      </c>
      <c r="N173" t="s">
        <v>51</v>
      </c>
      <c r="O173">
        <v>3.45</v>
      </c>
      <c r="P173">
        <v>8.26</v>
      </c>
      <c r="Q173" t="s">
        <v>46</v>
      </c>
      <c r="R173" t="s">
        <v>52</v>
      </c>
      <c r="S173" t="s">
        <v>53</v>
      </c>
      <c r="T173" t="s">
        <v>46</v>
      </c>
      <c r="U173" t="s">
        <v>54</v>
      </c>
      <c r="V173" t="s">
        <v>55</v>
      </c>
      <c r="W173" t="s">
        <v>473</v>
      </c>
      <c r="X173" t="s">
        <v>152</v>
      </c>
      <c r="Y173">
        <v>1.3</v>
      </c>
      <c r="Z173" t="s">
        <v>46</v>
      </c>
      <c r="AA173" t="s">
        <v>58</v>
      </c>
      <c r="AB173" t="s">
        <v>59</v>
      </c>
      <c r="AC173">
        <v>283</v>
      </c>
      <c r="AD173" t="s">
        <v>46</v>
      </c>
      <c r="AE173" t="s">
        <v>60</v>
      </c>
      <c r="AF173" t="s">
        <v>45</v>
      </c>
      <c r="AG173" t="s">
        <v>46</v>
      </c>
      <c r="AH173" t="s">
        <v>61</v>
      </c>
      <c r="AI173" t="s">
        <v>48</v>
      </c>
      <c r="AJ173" t="s">
        <v>62</v>
      </c>
      <c r="AK173" t="s">
        <v>63</v>
      </c>
      <c r="AL173" t="s">
        <v>376</v>
      </c>
      <c r="AM173" t="s">
        <v>46</v>
      </c>
      <c r="AN173" t="s">
        <v>60</v>
      </c>
      <c r="AO173" t="s">
        <v>62</v>
      </c>
      <c r="AP173" t="s">
        <v>474</v>
      </c>
      <c r="AQ173" t="s">
        <v>66</v>
      </c>
      <c r="AR173" t="s">
        <v>67</v>
      </c>
    </row>
    <row r="174" spans="1:44">
      <c r="A174" s="1">
        <v>45427</v>
      </c>
      <c r="B174" s="2">
        <v>0.24097222222222223</v>
      </c>
      <c r="C174" t="s">
        <v>44</v>
      </c>
      <c r="D174" t="s">
        <v>45</v>
      </c>
      <c r="E174">
        <v>0.64700000000000002</v>
      </c>
      <c r="F174" t="s">
        <v>46</v>
      </c>
      <c r="G174" t="s">
        <v>47</v>
      </c>
      <c r="H174" t="s">
        <v>45</v>
      </c>
      <c r="I174">
        <v>0.30890000000000001</v>
      </c>
      <c r="J174" t="s">
        <v>46</v>
      </c>
      <c r="K174" t="s">
        <v>48</v>
      </c>
      <c r="L174" t="s">
        <v>49</v>
      </c>
      <c r="M174" t="s">
        <v>50</v>
      </c>
      <c r="N174" t="s">
        <v>51</v>
      </c>
      <c r="O174">
        <v>3.45</v>
      </c>
      <c r="P174">
        <v>8.26</v>
      </c>
      <c r="Q174" t="s">
        <v>46</v>
      </c>
      <c r="R174" t="s">
        <v>52</v>
      </c>
      <c r="S174" t="s">
        <v>53</v>
      </c>
      <c r="T174" t="s">
        <v>46</v>
      </c>
      <c r="U174" t="s">
        <v>54</v>
      </c>
      <c r="V174" t="s">
        <v>55</v>
      </c>
      <c r="W174" t="s">
        <v>110</v>
      </c>
      <c r="X174" t="s">
        <v>292</v>
      </c>
      <c r="Y174">
        <v>1.33</v>
      </c>
      <c r="Z174" t="s">
        <v>46</v>
      </c>
      <c r="AA174" t="s">
        <v>58</v>
      </c>
      <c r="AB174" t="s">
        <v>59</v>
      </c>
      <c r="AC174">
        <v>283</v>
      </c>
      <c r="AD174" t="s">
        <v>46</v>
      </c>
      <c r="AE174" t="s">
        <v>60</v>
      </c>
      <c r="AF174" t="s">
        <v>45</v>
      </c>
      <c r="AG174" t="s">
        <v>46</v>
      </c>
      <c r="AH174" t="s">
        <v>61</v>
      </c>
      <c r="AI174" t="s">
        <v>48</v>
      </c>
      <c r="AJ174" t="s">
        <v>62</v>
      </c>
      <c r="AK174" t="s">
        <v>63</v>
      </c>
      <c r="AL174" t="s">
        <v>376</v>
      </c>
      <c r="AM174" t="s">
        <v>46</v>
      </c>
      <c r="AN174" t="s">
        <v>60</v>
      </c>
      <c r="AO174" t="s">
        <v>62</v>
      </c>
      <c r="AP174" t="s">
        <v>475</v>
      </c>
      <c r="AQ174" t="s">
        <v>66</v>
      </c>
      <c r="AR174" t="s">
        <v>67</v>
      </c>
    </row>
    <row r="175" spans="1:44">
      <c r="A175" s="1">
        <v>45427</v>
      </c>
      <c r="B175" s="2">
        <v>0.24101851851851852</v>
      </c>
      <c r="C175" t="s">
        <v>44</v>
      </c>
      <c r="D175" t="s">
        <v>45</v>
      </c>
      <c r="E175">
        <v>0.53100000000000003</v>
      </c>
      <c r="F175" t="s">
        <v>46</v>
      </c>
      <c r="G175" t="s">
        <v>47</v>
      </c>
      <c r="H175" t="s">
        <v>45</v>
      </c>
      <c r="I175">
        <v>0.309</v>
      </c>
      <c r="J175" t="s">
        <v>46</v>
      </c>
      <c r="K175" t="s">
        <v>48</v>
      </c>
      <c r="L175" t="s">
        <v>49</v>
      </c>
      <c r="M175" t="s">
        <v>50</v>
      </c>
      <c r="N175" t="s">
        <v>51</v>
      </c>
      <c r="O175">
        <v>3.45</v>
      </c>
      <c r="P175">
        <v>8.26</v>
      </c>
      <c r="Q175" t="s">
        <v>46</v>
      </c>
      <c r="R175" t="s">
        <v>52</v>
      </c>
      <c r="S175" t="s">
        <v>53</v>
      </c>
      <c r="T175" t="s">
        <v>46</v>
      </c>
      <c r="U175" t="s">
        <v>54</v>
      </c>
      <c r="V175" t="s">
        <v>55</v>
      </c>
      <c r="W175" t="s">
        <v>476</v>
      </c>
      <c r="X175" t="s">
        <v>292</v>
      </c>
      <c r="Y175">
        <v>1.33</v>
      </c>
      <c r="Z175" t="s">
        <v>46</v>
      </c>
      <c r="AA175" t="s">
        <v>58</v>
      </c>
      <c r="AB175" t="s">
        <v>59</v>
      </c>
      <c r="AC175">
        <v>283</v>
      </c>
      <c r="AD175" t="s">
        <v>46</v>
      </c>
      <c r="AE175" t="s">
        <v>60</v>
      </c>
      <c r="AF175" t="s">
        <v>45</v>
      </c>
      <c r="AG175" t="s">
        <v>46</v>
      </c>
      <c r="AH175" t="s">
        <v>61</v>
      </c>
      <c r="AI175" t="s">
        <v>48</v>
      </c>
      <c r="AJ175" t="s">
        <v>62</v>
      </c>
      <c r="AK175" t="s">
        <v>63</v>
      </c>
      <c r="AL175" t="s">
        <v>376</v>
      </c>
      <c r="AM175" t="s">
        <v>46</v>
      </c>
      <c r="AN175" t="s">
        <v>60</v>
      </c>
      <c r="AO175" t="s">
        <v>62</v>
      </c>
      <c r="AP175" t="s">
        <v>477</v>
      </c>
      <c r="AQ175" t="s">
        <v>66</v>
      </c>
      <c r="AR175" t="s">
        <v>67</v>
      </c>
    </row>
    <row r="176" spans="1:44">
      <c r="A176" s="1">
        <v>45427</v>
      </c>
      <c r="B176" s="2">
        <v>0.24106481481481482</v>
      </c>
      <c r="C176" t="s">
        <v>44</v>
      </c>
      <c r="D176" t="s">
        <v>45</v>
      </c>
      <c r="E176">
        <v>0.54300000000000004</v>
      </c>
      <c r="F176" t="s">
        <v>46</v>
      </c>
      <c r="G176" t="s">
        <v>47</v>
      </c>
      <c r="H176" t="s">
        <v>45</v>
      </c>
      <c r="I176">
        <v>0.30909999999999999</v>
      </c>
      <c r="J176" t="s">
        <v>46</v>
      </c>
      <c r="K176" t="s">
        <v>48</v>
      </c>
      <c r="L176" t="s">
        <v>49</v>
      </c>
      <c r="M176" t="s">
        <v>50</v>
      </c>
      <c r="N176" t="s">
        <v>51</v>
      </c>
      <c r="O176">
        <v>3.45</v>
      </c>
      <c r="P176">
        <v>8.26</v>
      </c>
      <c r="Q176" t="s">
        <v>46</v>
      </c>
      <c r="R176" t="s">
        <v>52</v>
      </c>
      <c r="S176" t="s">
        <v>53</v>
      </c>
      <c r="T176" t="s">
        <v>46</v>
      </c>
      <c r="U176" t="s">
        <v>54</v>
      </c>
      <c r="V176" t="s">
        <v>55</v>
      </c>
      <c r="W176" t="s">
        <v>478</v>
      </c>
      <c r="X176" t="s">
        <v>328</v>
      </c>
      <c r="Y176">
        <v>1.32</v>
      </c>
      <c r="Z176" t="s">
        <v>46</v>
      </c>
      <c r="AA176" t="s">
        <v>58</v>
      </c>
      <c r="AB176" t="s">
        <v>59</v>
      </c>
      <c r="AC176">
        <v>283</v>
      </c>
      <c r="AD176" t="s">
        <v>46</v>
      </c>
      <c r="AE176" t="s">
        <v>60</v>
      </c>
      <c r="AF176" t="s">
        <v>45</v>
      </c>
      <c r="AG176" t="s">
        <v>46</v>
      </c>
      <c r="AH176" t="s">
        <v>61</v>
      </c>
      <c r="AI176" t="s">
        <v>48</v>
      </c>
      <c r="AJ176" t="s">
        <v>62</v>
      </c>
      <c r="AK176" t="s">
        <v>63</v>
      </c>
      <c r="AL176" t="s">
        <v>376</v>
      </c>
      <c r="AM176" t="s">
        <v>46</v>
      </c>
      <c r="AN176" t="s">
        <v>60</v>
      </c>
      <c r="AO176" t="s">
        <v>62</v>
      </c>
      <c r="AP176" t="s">
        <v>479</v>
      </c>
      <c r="AQ176" t="s">
        <v>66</v>
      </c>
      <c r="AR176" t="s">
        <v>67</v>
      </c>
    </row>
    <row r="177" spans="1:44">
      <c r="A177" s="1">
        <v>45427</v>
      </c>
      <c r="B177" s="2">
        <v>0.24111111111111111</v>
      </c>
      <c r="C177" t="s">
        <v>44</v>
      </c>
      <c r="D177" t="s">
        <v>45</v>
      </c>
      <c r="E177">
        <v>0.65600000000000003</v>
      </c>
      <c r="F177" t="s">
        <v>46</v>
      </c>
      <c r="G177" t="s">
        <v>47</v>
      </c>
      <c r="H177" t="s">
        <v>45</v>
      </c>
      <c r="I177">
        <v>0.30890000000000001</v>
      </c>
      <c r="J177" t="s">
        <v>46</v>
      </c>
      <c r="K177" t="s">
        <v>48</v>
      </c>
      <c r="L177" t="s">
        <v>49</v>
      </c>
      <c r="M177" t="s">
        <v>50</v>
      </c>
      <c r="N177" t="s">
        <v>51</v>
      </c>
      <c r="O177">
        <v>3.45</v>
      </c>
      <c r="P177">
        <v>8.26</v>
      </c>
      <c r="Q177" t="s">
        <v>46</v>
      </c>
      <c r="R177" t="s">
        <v>52</v>
      </c>
      <c r="S177" t="s">
        <v>53</v>
      </c>
      <c r="T177" t="s">
        <v>46</v>
      </c>
      <c r="U177" t="s">
        <v>54</v>
      </c>
      <c r="V177" t="s">
        <v>55</v>
      </c>
      <c r="W177" t="s">
        <v>480</v>
      </c>
      <c r="X177" t="s">
        <v>328</v>
      </c>
      <c r="Y177">
        <v>1.32</v>
      </c>
      <c r="Z177" t="s">
        <v>46</v>
      </c>
      <c r="AA177" t="s">
        <v>58</v>
      </c>
      <c r="AB177" t="s">
        <v>59</v>
      </c>
      <c r="AC177">
        <v>283</v>
      </c>
      <c r="AD177" t="s">
        <v>46</v>
      </c>
      <c r="AE177" t="s">
        <v>60</v>
      </c>
      <c r="AF177" t="s">
        <v>45</v>
      </c>
      <c r="AG177" t="s">
        <v>46</v>
      </c>
      <c r="AH177" t="s">
        <v>61</v>
      </c>
      <c r="AI177" t="s">
        <v>48</v>
      </c>
      <c r="AJ177" t="s">
        <v>62</v>
      </c>
      <c r="AK177" t="s">
        <v>63</v>
      </c>
      <c r="AL177" t="s">
        <v>376</v>
      </c>
      <c r="AM177" t="s">
        <v>46</v>
      </c>
      <c r="AN177" t="s">
        <v>60</v>
      </c>
      <c r="AO177" t="s">
        <v>62</v>
      </c>
      <c r="AP177" t="s">
        <v>481</v>
      </c>
      <c r="AQ177" t="s">
        <v>66</v>
      </c>
      <c r="AR177" t="s">
        <v>67</v>
      </c>
    </row>
    <row r="178" spans="1:44">
      <c r="A178" s="1">
        <v>45427</v>
      </c>
      <c r="B178" s="2">
        <v>0.24116898148148147</v>
      </c>
      <c r="C178" t="s">
        <v>44</v>
      </c>
      <c r="D178" t="s">
        <v>45</v>
      </c>
      <c r="E178">
        <v>0.88900000000000001</v>
      </c>
      <c r="F178" t="s">
        <v>46</v>
      </c>
      <c r="G178" t="s">
        <v>47</v>
      </c>
      <c r="H178" t="s">
        <v>45</v>
      </c>
      <c r="I178">
        <v>0.309</v>
      </c>
      <c r="J178" t="s">
        <v>46</v>
      </c>
      <c r="K178" t="s">
        <v>48</v>
      </c>
      <c r="L178" t="s">
        <v>49</v>
      </c>
      <c r="M178" t="s">
        <v>50</v>
      </c>
      <c r="N178" t="s">
        <v>51</v>
      </c>
      <c r="O178">
        <v>3.45</v>
      </c>
      <c r="P178">
        <v>8.26</v>
      </c>
      <c r="Q178" t="s">
        <v>46</v>
      </c>
      <c r="R178" t="s">
        <v>52</v>
      </c>
      <c r="S178" t="s">
        <v>53</v>
      </c>
      <c r="T178" t="s">
        <v>46</v>
      </c>
      <c r="U178" t="s">
        <v>54</v>
      </c>
      <c r="V178" t="s">
        <v>55</v>
      </c>
      <c r="W178" t="s">
        <v>480</v>
      </c>
      <c r="X178" t="s">
        <v>328</v>
      </c>
      <c r="Y178">
        <v>1.32</v>
      </c>
      <c r="Z178" t="s">
        <v>46</v>
      </c>
      <c r="AA178" t="s">
        <v>58</v>
      </c>
      <c r="AB178" t="s">
        <v>59</v>
      </c>
      <c r="AC178">
        <v>283</v>
      </c>
      <c r="AD178" t="s">
        <v>46</v>
      </c>
      <c r="AE178" t="s">
        <v>60</v>
      </c>
      <c r="AF178" t="s">
        <v>45</v>
      </c>
      <c r="AG178" t="s">
        <v>46</v>
      </c>
      <c r="AH178" t="s">
        <v>61</v>
      </c>
      <c r="AI178" t="s">
        <v>48</v>
      </c>
      <c r="AJ178" t="s">
        <v>62</v>
      </c>
      <c r="AK178" t="s">
        <v>63</v>
      </c>
      <c r="AL178" t="s">
        <v>376</v>
      </c>
      <c r="AM178" t="s">
        <v>46</v>
      </c>
      <c r="AN178" t="s">
        <v>60</v>
      </c>
      <c r="AO178" t="s">
        <v>62</v>
      </c>
      <c r="AP178" t="s">
        <v>482</v>
      </c>
      <c r="AQ178" t="s">
        <v>66</v>
      </c>
      <c r="AR178" t="s">
        <v>67</v>
      </c>
    </row>
    <row r="179" spans="1:44">
      <c r="A179" s="1">
        <v>45427</v>
      </c>
      <c r="B179" s="2">
        <v>0.24121527777777776</v>
      </c>
      <c r="C179" t="s">
        <v>44</v>
      </c>
      <c r="D179" t="s">
        <v>45</v>
      </c>
      <c r="E179">
        <v>0.52900000000000003</v>
      </c>
      <c r="F179" t="s">
        <v>46</v>
      </c>
      <c r="G179" t="s">
        <v>47</v>
      </c>
      <c r="H179" t="s">
        <v>45</v>
      </c>
      <c r="I179">
        <v>0.309</v>
      </c>
      <c r="J179" t="s">
        <v>46</v>
      </c>
      <c r="K179" t="s">
        <v>48</v>
      </c>
      <c r="L179" t="s">
        <v>49</v>
      </c>
      <c r="M179" t="s">
        <v>50</v>
      </c>
      <c r="N179" t="s">
        <v>51</v>
      </c>
      <c r="O179">
        <v>3.45</v>
      </c>
      <c r="P179">
        <v>8.26</v>
      </c>
      <c r="Q179" t="s">
        <v>46</v>
      </c>
      <c r="R179" t="s">
        <v>52</v>
      </c>
      <c r="S179" t="s">
        <v>53</v>
      </c>
      <c r="T179" t="s">
        <v>46</v>
      </c>
      <c r="U179" t="s">
        <v>54</v>
      </c>
      <c r="V179" t="s">
        <v>55</v>
      </c>
      <c r="W179" t="s">
        <v>483</v>
      </c>
      <c r="X179" t="s">
        <v>68</v>
      </c>
      <c r="Y179">
        <v>1.32</v>
      </c>
      <c r="Z179" t="s">
        <v>46</v>
      </c>
      <c r="AA179" t="s">
        <v>58</v>
      </c>
      <c r="AB179" t="s">
        <v>59</v>
      </c>
      <c r="AC179">
        <v>283</v>
      </c>
      <c r="AD179" t="s">
        <v>46</v>
      </c>
      <c r="AE179" t="s">
        <v>60</v>
      </c>
      <c r="AF179" t="s">
        <v>45</v>
      </c>
      <c r="AG179" t="s">
        <v>46</v>
      </c>
      <c r="AH179" t="s">
        <v>61</v>
      </c>
      <c r="AI179" t="s">
        <v>48</v>
      </c>
      <c r="AJ179" t="s">
        <v>62</v>
      </c>
      <c r="AK179" t="s">
        <v>63</v>
      </c>
      <c r="AL179" t="s">
        <v>376</v>
      </c>
      <c r="AM179" t="s">
        <v>46</v>
      </c>
      <c r="AN179" t="s">
        <v>60</v>
      </c>
      <c r="AO179" t="s">
        <v>62</v>
      </c>
      <c r="AP179" t="s">
        <v>484</v>
      </c>
      <c r="AQ179" t="s">
        <v>66</v>
      </c>
      <c r="AR179" t="s">
        <v>67</v>
      </c>
    </row>
    <row r="180" spans="1:44">
      <c r="A180" s="1">
        <v>45427</v>
      </c>
      <c r="B180" s="2">
        <v>0.24126157407407409</v>
      </c>
      <c r="C180" t="s">
        <v>44</v>
      </c>
      <c r="D180" t="s">
        <v>45</v>
      </c>
      <c r="E180">
        <v>0.69699999999999995</v>
      </c>
      <c r="F180" t="s">
        <v>46</v>
      </c>
      <c r="G180" t="s">
        <v>47</v>
      </c>
      <c r="H180" t="s">
        <v>45</v>
      </c>
      <c r="I180">
        <v>0.30909999999999999</v>
      </c>
      <c r="J180" t="s">
        <v>46</v>
      </c>
      <c r="K180" t="s">
        <v>48</v>
      </c>
      <c r="L180" t="s">
        <v>49</v>
      </c>
      <c r="M180" t="s">
        <v>50</v>
      </c>
      <c r="N180" t="s">
        <v>51</v>
      </c>
      <c r="O180">
        <v>3.45</v>
      </c>
      <c r="P180">
        <v>8.26</v>
      </c>
      <c r="Q180" t="s">
        <v>46</v>
      </c>
      <c r="R180" t="s">
        <v>52</v>
      </c>
      <c r="S180" t="s">
        <v>53</v>
      </c>
      <c r="T180" t="s">
        <v>46</v>
      </c>
      <c r="U180" t="s">
        <v>54</v>
      </c>
      <c r="V180" t="s">
        <v>55</v>
      </c>
      <c r="W180" t="s">
        <v>485</v>
      </c>
      <c r="X180" t="s">
        <v>328</v>
      </c>
      <c r="Y180">
        <v>1.32</v>
      </c>
      <c r="Z180" t="s">
        <v>46</v>
      </c>
      <c r="AA180" t="s">
        <v>58</v>
      </c>
      <c r="AB180" t="s">
        <v>59</v>
      </c>
      <c r="AC180">
        <v>283</v>
      </c>
      <c r="AD180" t="s">
        <v>46</v>
      </c>
      <c r="AE180" t="s">
        <v>60</v>
      </c>
      <c r="AF180" t="s">
        <v>45</v>
      </c>
      <c r="AG180" t="s">
        <v>46</v>
      </c>
      <c r="AH180" t="s">
        <v>61</v>
      </c>
      <c r="AI180" t="s">
        <v>48</v>
      </c>
      <c r="AJ180" t="s">
        <v>62</v>
      </c>
      <c r="AK180" t="s">
        <v>63</v>
      </c>
      <c r="AL180" t="s">
        <v>376</v>
      </c>
      <c r="AM180" t="s">
        <v>46</v>
      </c>
      <c r="AN180" t="s">
        <v>60</v>
      </c>
      <c r="AO180" t="s">
        <v>62</v>
      </c>
      <c r="AP180" t="s">
        <v>486</v>
      </c>
      <c r="AQ180" t="s">
        <v>66</v>
      </c>
      <c r="AR180" t="s">
        <v>67</v>
      </c>
    </row>
    <row r="181" spans="1:44">
      <c r="A181" s="1">
        <v>45427</v>
      </c>
      <c r="B181" s="2">
        <v>0.24130787037037038</v>
      </c>
      <c r="C181" t="s">
        <v>44</v>
      </c>
      <c r="D181" t="s">
        <v>45</v>
      </c>
      <c r="E181">
        <v>0.875</v>
      </c>
      <c r="F181" t="s">
        <v>46</v>
      </c>
      <c r="G181" t="s">
        <v>47</v>
      </c>
      <c r="H181" t="s">
        <v>45</v>
      </c>
      <c r="I181">
        <v>0.309</v>
      </c>
      <c r="J181" t="s">
        <v>46</v>
      </c>
      <c r="K181" t="s">
        <v>48</v>
      </c>
      <c r="L181" t="s">
        <v>49</v>
      </c>
      <c r="M181" t="s">
        <v>50</v>
      </c>
      <c r="N181" t="s">
        <v>51</v>
      </c>
      <c r="O181">
        <v>3.45</v>
      </c>
      <c r="P181">
        <v>8.26</v>
      </c>
      <c r="Q181" t="s">
        <v>46</v>
      </c>
      <c r="R181" t="s">
        <v>52</v>
      </c>
      <c r="S181" t="s">
        <v>53</v>
      </c>
      <c r="T181" t="s">
        <v>46</v>
      </c>
      <c r="U181" t="s">
        <v>54</v>
      </c>
      <c r="V181" t="s">
        <v>55</v>
      </c>
      <c r="W181" t="s">
        <v>487</v>
      </c>
      <c r="X181" t="s">
        <v>292</v>
      </c>
      <c r="Y181">
        <v>1.33</v>
      </c>
      <c r="Z181" t="s">
        <v>46</v>
      </c>
      <c r="AA181" t="s">
        <v>58</v>
      </c>
      <c r="AB181" t="s">
        <v>59</v>
      </c>
      <c r="AC181">
        <v>283</v>
      </c>
      <c r="AD181" t="s">
        <v>46</v>
      </c>
      <c r="AE181" t="s">
        <v>60</v>
      </c>
      <c r="AF181" t="s">
        <v>45</v>
      </c>
      <c r="AG181" t="s">
        <v>46</v>
      </c>
      <c r="AH181" t="s">
        <v>61</v>
      </c>
      <c r="AI181" t="s">
        <v>48</v>
      </c>
      <c r="AJ181" t="s">
        <v>62</v>
      </c>
      <c r="AK181" t="s">
        <v>63</v>
      </c>
      <c r="AL181" t="s">
        <v>376</v>
      </c>
      <c r="AM181" t="s">
        <v>46</v>
      </c>
      <c r="AN181" t="s">
        <v>60</v>
      </c>
      <c r="AO181" t="s">
        <v>62</v>
      </c>
      <c r="AP181" t="s">
        <v>488</v>
      </c>
      <c r="AQ181" t="s">
        <v>66</v>
      </c>
      <c r="AR181" t="s">
        <v>67</v>
      </c>
    </row>
    <row r="182" spans="1:44">
      <c r="A182" s="1">
        <v>45427</v>
      </c>
      <c r="B182" s="2">
        <v>0.24136574074074074</v>
      </c>
      <c r="C182" t="s">
        <v>44</v>
      </c>
      <c r="D182" t="s">
        <v>45</v>
      </c>
      <c r="E182">
        <v>0.51500000000000001</v>
      </c>
      <c r="F182" t="s">
        <v>46</v>
      </c>
      <c r="G182" t="s">
        <v>47</v>
      </c>
      <c r="H182" t="s">
        <v>45</v>
      </c>
      <c r="I182">
        <v>0.30890000000000001</v>
      </c>
      <c r="J182" t="s">
        <v>46</v>
      </c>
      <c r="K182" t="s">
        <v>48</v>
      </c>
      <c r="L182" t="s">
        <v>49</v>
      </c>
      <c r="M182" t="s">
        <v>50</v>
      </c>
      <c r="N182" t="s">
        <v>51</v>
      </c>
      <c r="O182">
        <v>3.45</v>
      </c>
      <c r="P182">
        <v>8.26</v>
      </c>
      <c r="Q182" t="s">
        <v>46</v>
      </c>
      <c r="R182" t="s">
        <v>52</v>
      </c>
      <c r="S182" t="s">
        <v>53</v>
      </c>
      <c r="T182" t="s">
        <v>46</v>
      </c>
      <c r="U182" t="s">
        <v>54</v>
      </c>
      <c r="V182" t="s">
        <v>55</v>
      </c>
      <c r="W182" t="s">
        <v>480</v>
      </c>
      <c r="X182" t="s">
        <v>340</v>
      </c>
      <c r="Y182">
        <v>1.33</v>
      </c>
      <c r="Z182" t="s">
        <v>46</v>
      </c>
      <c r="AA182" t="s">
        <v>58</v>
      </c>
      <c r="AB182" t="s">
        <v>59</v>
      </c>
      <c r="AC182">
        <v>283</v>
      </c>
      <c r="AD182" t="s">
        <v>46</v>
      </c>
      <c r="AE182" t="s">
        <v>60</v>
      </c>
      <c r="AF182" t="s">
        <v>45</v>
      </c>
      <c r="AG182" t="s">
        <v>46</v>
      </c>
      <c r="AH182" t="s">
        <v>61</v>
      </c>
      <c r="AI182" t="s">
        <v>48</v>
      </c>
      <c r="AJ182" t="s">
        <v>62</v>
      </c>
      <c r="AK182" t="s">
        <v>63</v>
      </c>
      <c r="AL182" t="s">
        <v>376</v>
      </c>
      <c r="AM182" t="s">
        <v>46</v>
      </c>
      <c r="AN182" t="s">
        <v>60</v>
      </c>
      <c r="AO182" t="s">
        <v>62</v>
      </c>
      <c r="AP182" t="s">
        <v>489</v>
      </c>
      <c r="AQ182" t="s">
        <v>66</v>
      </c>
      <c r="AR182" t="s">
        <v>67</v>
      </c>
    </row>
    <row r="183" spans="1:44">
      <c r="A183" s="1">
        <v>45427</v>
      </c>
      <c r="B183" s="2">
        <v>0.24141203703703704</v>
      </c>
      <c r="C183" t="s">
        <v>44</v>
      </c>
      <c r="D183" t="s">
        <v>45</v>
      </c>
      <c r="E183">
        <v>0.96799999999999997</v>
      </c>
      <c r="F183" t="s">
        <v>46</v>
      </c>
      <c r="G183" t="s">
        <v>47</v>
      </c>
      <c r="H183" t="s">
        <v>45</v>
      </c>
      <c r="I183">
        <v>0.30890000000000001</v>
      </c>
      <c r="J183" t="s">
        <v>46</v>
      </c>
      <c r="K183" t="s">
        <v>48</v>
      </c>
      <c r="L183" t="s">
        <v>49</v>
      </c>
      <c r="M183" t="s">
        <v>50</v>
      </c>
      <c r="N183" t="s">
        <v>51</v>
      </c>
      <c r="O183">
        <v>3.45</v>
      </c>
      <c r="P183">
        <v>8.26</v>
      </c>
      <c r="Q183" t="s">
        <v>46</v>
      </c>
      <c r="R183" t="s">
        <v>52</v>
      </c>
      <c r="S183" t="s">
        <v>53</v>
      </c>
      <c r="T183" t="s">
        <v>46</v>
      </c>
      <c r="U183" t="s">
        <v>54</v>
      </c>
      <c r="V183" t="s">
        <v>55</v>
      </c>
      <c r="W183" t="s">
        <v>137</v>
      </c>
      <c r="X183" t="s">
        <v>340</v>
      </c>
      <c r="Y183">
        <v>1.33</v>
      </c>
      <c r="Z183" t="s">
        <v>46</v>
      </c>
      <c r="AA183" t="s">
        <v>58</v>
      </c>
      <c r="AB183" t="s">
        <v>59</v>
      </c>
      <c r="AC183">
        <v>284</v>
      </c>
      <c r="AD183" t="s">
        <v>46</v>
      </c>
      <c r="AE183" t="s">
        <v>60</v>
      </c>
      <c r="AF183" t="s">
        <v>45</v>
      </c>
      <c r="AG183" t="s">
        <v>46</v>
      </c>
      <c r="AH183" t="s">
        <v>61</v>
      </c>
      <c r="AI183" t="s">
        <v>48</v>
      </c>
      <c r="AJ183" t="s">
        <v>62</v>
      </c>
      <c r="AK183" t="s">
        <v>63</v>
      </c>
      <c r="AL183" t="s">
        <v>376</v>
      </c>
      <c r="AM183" t="s">
        <v>46</v>
      </c>
      <c r="AN183" t="s">
        <v>60</v>
      </c>
      <c r="AO183" t="s">
        <v>62</v>
      </c>
      <c r="AP183" t="s">
        <v>490</v>
      </c>
      <c r="AQ183" t="s">
        <v>66</v>
      </c>
      <c r="AR183" t="s">
        <v>67</v>
      </c>
    </row>
    <row r="184" spans="1:44">
      <c r="A184" s="1">
        <v>45427</v>
      </c>
      <c r="B184" s="2">
        <v>0.24145833333333333</v>
      </c>
      <c r="C184" t="s">
        <v>44</v>
      </c>
      <c r="D184" t="s">
        <v>45</v>
      </c>
      <c r="E184">
        <v>0.54300000000000004</v>
      </c>
      <c r="F184" t="s">
        <v>46</v>
      </c>
      <c r="G184" t="s">
        <v>47</v>
      </c>
      <c r="H184" t="s">
        <v>45</v>
      </c>
      <c r="I184">
        <v>0.30890000000000001</v>
      </c>
      <c r="J184" t="s">
        <v>46</v>
      </c>
      <c r="K184" t="s">
        <v>48</v>
      </c>
      <c r="L184" t="s">
        <v>49</v>
      </c>
      <c r="M184" t="s">
        <v>50</v>
      </c>
      <c r="N184" t="s">
        <v>51</v>
      </c>
      <c r="O184">
        <v>3.45</v>
      </c>
      <c r="P184">
        <v>8.26</v>
      </c>
      <c r="Q184" t="s">
        <v>46</v>
      </c>
      <c r="R184" t="s">
        <v>52</v>
      </c>
      <c r="S184" t="s">
        <v>53</v>
      </c>
      <c r="T184" t="s">
        <v>46</v>
      </c>
      <c r="U184" t="s">
        <v>54</v>
      </c>
      <c r="V184" t="s">
        <v>55</v>
      </c>
      <c r="W184" t="s">
        <v>473</v>
      </c>
      <c r="X184" t="s">
        <v>292</v>
      </c>
      <c r="Y184">
        <v>1.33</v>
      </c>
      <c r="Z184" t="s">
        <v>46</v>
      </c>
      <c r="AA184" t="s">
        <v>58</v>
      </c>
      <c r="AB184" t="s">
        <v>59</v>
      </c>
      <c r="AC184">
        <v>283</v>
      </c>
      <c r="AD184" t="s">
        <v>46</v>
      </c>
      <c r="AE184" t="s">
        <v>60</v>
      </c>
      <c r="AF184" t="s">
        <v>45</v>
      </c>
      <c r="AG184" t="s">
        <v>46</v>
      </c>
      <c r="AH184" t="s">
        <v>61</v>
      </c>
      <c r="AI184" t="s">
        <v>48</v>
      </c>
      <c r="AJ184" t="s">
        <v>62</v>
      </c>
      <c r="AK184" t="s">
        <v>63</v>
      </c>
      <c r="AL184" t="s">
        <v>376</v>
      </c>
      <c r="AM184" t="s">
        <v>46</v>
      </c>
      <c r="AN184" t="s">
        <v>60</v>
      </c>
      <c r="AO184" t="s">
        <v>62</v>
      </c>
      <c r="AP184" t="s">
        <v>491</v>
      </c>
      <c r="AQ184" t="s">
        <v>66</v>
      </c>
      <c r="AR184" t="s">
        <v>67</v>
      </c>
    </row>
    <row r="185" spans="1:44">
      <c r="A185" s="1">
        <v>45427</v>
      </c>
      <c r="B185" s="2">
        <v>0.24150462962962962</v>
      </c>
      <c r="C185" t="s">
        <v>44</v>
      </c>
      <c r="D185" t="s">
        <v>45</v>
      </c>
      <c r="E185">
        <v>0.53100000000000003</v>
      </c>
      <c r="F185" t="s">
        <v>46</v>
      </c>
      <c r="G185" t="s">
        <v>47</v>
      </c>
      <c r="H185" t="s">
        <v>45</v>
      </c>
      <c r="I185">
        <v>0.30890000000000001</v>
      </c>
      <c r="J185" t="s">
        <v>46</v>
      </c>
      <c r="K185" t="s">
        <v>48</v>
      </c>
      <c r="L185" t="s">
        <v>49</v>
      </c>
      <c r="M185" t="s">
        <v>50</v>
      </c>
      <c r="N185" t="s">
        <v>51</v>
      </c>
      <c r="O185">
        <v>3.45</v>
      </c>
      <c r="P185">
        <v>8.26</v>
      </c>
      <c r="Q185" t="s">
        <v>46</v>
      </c>
      <c r="R185" t="s">
        <v>52</v>
      </c>
      <c r="S185" t="s">
        <v>53</v>
      </c>
      <c r="T185" t="s">
        <v>46</v>
      </c>
      <c r="U185" t="s">
        <v>54</v>
      </c>
      <c r="V185" t="s">
        <v>55</v>
      </c>
      <c r="W185" t="s">
        <v>473</v>
      </c>
      <c r="X185" t="s">
        <v>292</v>
      </c>
      <c r="Y185">
        <v>1.33</v>
      </c>
      <c r="Z185" t="s">
        <v>46</v>
      </c>
      <c r="AA185" t="s">
        <v>58</v>
      </c>
      <c r="AB185" t="s">
        <v>59</v>
      </c>
      <c r="AC185">
        <v>283</v>
      </c>
      <c r="AD185" t="s">
        <v>46</v>
      </c>
      <c r="AE185" t="s">
        <v>60</v>
      </c>
      <c r="AF185" t="s">
        <v>45</v>
      </c>
      <c r="AG185" t="s">
        <v>46</v>
      </c>
      <c r="AH185" t="s">
        <v>61</v>
      </c>
      <c r="AI185" t="s">
        <v>48</v>
      </c>
      <c r="AJ185" t="s">
        <v>62</v>
      </c>
      <c r="AK185" t="s">
        <v>63</v>
      </c>
      <c r="AL185" t="s">
        <v>376</v>
      </c>
      <c r="AM185" t="s">
        <v>46</v>
      </c>
      <c r="AN185" t="s">
        <v>60</v>
      </c>
      <c r="AO185" t="s">
        <v>62</v>
      </c>
      <c r="AP185" t="s">
        <v>492</v>
      </c>
      <c r="AQ185" t="s">
        <v>66</v>
      </c>
      <c r="AR185" t="s">
        <v>67</v>
      </c>
    </row>
    <row r="186" spans="1:44">
      <c r="A186" s="1">
        <v>45427</v>
      </c>
      <c r="B186" s="2">
        <v>0.24156250000000001</v>
      </c>
      <c r="C186" t="s">
        <v>44</v>
      </c>
      <c r="D186" t="s">
        <v>45</v>
      </c>
      <c r="E186">
        <v>0.75</v>
      </c>
      <c r="F186" t="s">
        <v>46</v>
      </c>
      <c r="G186" t="s">
        <v>47</v>
      </c>
      <c r="H186" t="s">
        <v>45</v>
      </c>
      <c r="I186">
        <v>0.30880000000000002</v>
      </c>
      <c r="J186" t="s">
        <v>46</v>
      </c>
      <c r="K186" t="s">
        <v>48</v>
      </c>
      <c r="L186" t="s">
        <v>49</v>
      </c>
      <c r="M186" t="s">
        <v>50</v>
      </c>
      <c r="N186" t="s">
        <v>51</v>
      </c>
      <c r="O186">
        <v>3.45</v>
      </c>
      <c r="P186">
        <v>8.26</v>
      </c>
      <c r="Q186" t="s">
        <v>46</v>
      </c>
      <c r="R186" t="s">
        <v>52</v>
      </c>
      <c r="S186" t="s">
        <v>53</v>
      </c>
      <c r="T186" t="s">
        <v>46</v>
      </c>
      <c r="U186" t="s">
        <v>54</v>
      </c>
      <c r="V186" t="s">
        <v>55</v>
      </c>
      <c r="W186" t="s">
        <v>493</v>
      </c>
      <c r="X186" t="s">
        <v>340</v>
      </c>
      <c r="Y186">
        <v>1.33</v>
      </c>
      <c r="Z186" t="s">
        <v>46</v>
      </c>
      <c r="AA186" t="s">
        <v>58</v>
      </c>
      <c r="AB186" t="s">
        <v>59</v>
      </c>
      <c r="AC186">
        <v>283</v>
      </c>
      <c r="AD186" t="s">
        <v>46</v>
      </c>
      <c r="AE186" t="s">
        <v>60</v>
      </c>
      <c r="AF186" t="s">
        <v>45</v>
      </c>
      <c r="AG186" t="s">
        <v>46</v>
      </c>
      <c r="AH186" t="s">
        <v>61</v>
      </c>
      <c r="AI186" t="s">
        <v>48</v>
      </c>
      <c r="AJ186" t="s">
        <v>62</v>
      </c>
      <c r="AK186" t="s">
        <v>63</v>
      </c>
      <c r="AL186" t="s">
        <v>376</v>
      </c>
      <c r="AM186" t="s">
        <v>46</v>
      </c>
      <c r="AN186" t="s">
        <v>60</v>
      </c>
      <c r="AO186" t="s">
        <v>62</v>
      </c>
      <c r="AP186" t="s">
        <v>494</v>
      </c>
      <c r="AQ186" t="s">
        <v>66</v>
      </c>
      <c r="AR186" t="s">
        <v>67</v>
      </c>
    </row>
    <row r="187" spans="1:44">
      <c r="A187" s="1">
        <v>45427</v>
      </c>
      <c r="B187" s="2">
        <v>0.24160879629629631</v>
      </c>
      <c r="C187" t="s">
        <v>44</v>
      </c>
      <c r="D187" t="s">
        <v>45</v>
      </c>
      <c r="E187">
        <v>0.55900000000000005</v>
      </c>
      <c r="F187" t="s">
        <v>46</v>
      </c>
      <c r="G187" t="s">
        <v>47</v>
      </c>
      <c r="H187" t="s">
        <v>45</v>
      </c>
      <c r="I187">
        <v>0.30890000000000001</v>
      </c>
      <c r="J187" t="s">
        <v>46</v>
      </c>
      <c r="K187" t="s">
        <v>48</v>
      </c>
      <c r="L187" t="s">
        <v>49</v>
      </c>
      <c r="M187" t="s">
        <v>50</v>
      </c>
      <c r="N187" t="s">
        <v>51</v>
      </c>
      <c r="O187">
        <v>3.45</v>
      </c>
      <c r="P187">
        <v>8.26</v>
      </c>
      <c r="Q187" t="s">
        <v>46</v>
      </c>
      <c r="R187" t="s">
        <v>52</v>
      </c>
      <c r="S187" t="s">
        <v>53</v>
      </c>
      <c r="T187" t="s">
        <v>46</v>
      </c>
      <c r="U187" t="s">
        <v>54</v>
      </c>
      <c r="V187" t="s">
        <v>55</v>
      </c>
      <c r="W187" t="s">
        <v>77</v>
      </c>
      <c r="X187" t="s">
        <v>328</v>
      </c>
      <c r="Y187">
        <v>1.33</v>
      </c>
      <c r="Z187" t="s">
        <v>46</v>
      </c>
      <c r="AA187" t="s">
        <v>58</v>
      </c>
      <c r="AB187" t="s">
        <v>59</v>
      </c>
      <c r="AC187">
        <v>283</v>
      </c>
      <c r="AD187" t="s">
        <v>46</v>
      </c>
      <c r="AE187" t="s">
        <v>60</v>
      </c>
      <c r="AF187" t="s">
        <v>45</v>
      </c>
      <c r="AG187" t="s">
        <v>46</v>
      </c>
      <c r="AH187" t="s">
        <v>61</v>
      </c>
      <c r="AI187" t="s">
        <v>48</v>
      </c>
      <c r="AJ187" t="s">
        <v>62</v>
      </c>
      <c r="AK187" t="s">
        <v>63</v>
      </c>
      <c r="AL187" t="s">
        <v>376</v>
      </c>
      <c r="AM187" t="s">
        <v>46</v>
      </c>
      <c r="AN187" t="s">
        <v>60</v>
      </c>
      <c r="AO187" t="s">
        <v>62</v>
      </c>
      <c r="AP187" t="s">
        <v>495</v>
      </c>
      <c r="AQ187" t="s">
        <v>66</v>
      </c>
      <c r="AR187" t="s">
        <v>67</v>
      </c>
    </row>
    <row r="188" spans="1:44">
      <c r="A188" s="1">
        <v>45427</v>
      </c>
      <c r="B188" s="2">
        <v>0.2416550925925926</v>
      </c>
      <c r="C188" t="s">
        <v>44</v>
      </c>
      <c r="D188" t="s">
        <v>45</v>
      </c>
      <c r="E188">
        <v>0.72699999999999998</v>
      </c>
      <c r="F188" t="s">
        <v>46</v>
      </c>
      <c r="G188" t="s">
        <v>47</v>
      </c>
      <c r="H188" t="s">
        <v>45</v>
      </c>
      <c r="I188">
        <v>0.309</v>
      </c>
      <c r="J188" t="s">
        <v>46</v>
      </c>
      <c r="K188" t="s">
        <v>48</v>
      </c>
      <c r="L188" t="s">
        <v>49</v>
      </c>
      <c r="M188" t="s">
        <v>50</v>
      </c>
      <c r="N188" t="s">
        <v>51</v>
      </c>
      <c r="O188">
        <v>3.45</v>
      </c>
      <c r="P188">
        <v>8.26</v>
      </c>
      <c r="Q188" t="s">
        <v>46</v>
      </c>
      <c r="R188" t="s">
        <v>52</v>
      </c>
      <c r="S188" t="s">
        <v>53</v>
      </c>
      <c r="T188" t="s">
        <v>46</v>
      </c>
      <c r="U188" t="s">
        <v>54</v>
      </c>
      <c r="V188" t="s">
        <v>55</v>
      </c>
      <c r="W188" t="s">
        <v>146</v>
      </c>
      <c r="X188" t="s">
        <v>68</v>
      </c>
      <c r="Y188">
        <v>1.32</v>
      </c>
      <c r="Z188" t="s">
        <v>46</v>
      </c>
      <c r="AA188" t="s">
        <v>58</v>
      </c>
      <c r="AB188" t="s">
        <v>59</v>
      </c>
      <c r="AC188">
        <v>284</v>
      </c>
      <c r="AD188" t="s">
        <v>46</v>
      </c>
      <c r="AE188" t="s">
        <v>60</v>
      </c>
      <c r="AF188" t="s">
        <v>45</v>
      </c>
      <c r="AG188" t="s">
        <v>46</v>
      </c>
      <c r="AH188" t="s">
        <v>61</v>
      </c>
      <c r="AI188" t="s">
        <v>48</v>
      </c>
      <c r="AJ188" t="s">
        <v>62</v>
      </c>
      <c r="AK188" t="s">
        <v>63</v>
      </c>
      <c r="AL188" t="s">
        <v>376</v>
      </c>
      <c r="AM188" t="s">
        <v>46</v>
      </c>
      <c r="AN188" t="s">
        <v>60</v>
      </c>
      <c r="AO188" t="s">
        <v>62</v>
      </c>
      <c r="AP188" t="s">
        <v>496</v>
      </c>
      <c r="AQ188" t="s">
        <v>66</v>
      </c>
      <c r="AR188" t="s">
        <v>67</v>
      </c>
    </row>
    <row r="189" spans="1:44">
      <c r="A189" s="1">
        <v>45427</v>
      </c>
      <c r="B189" s="2">
        <v>0.2417013888888889</v>
      </c>
      <c r="C189" t="s">
        <v>44</v>
      </c>
      <c r="D189" t="s">
        <v>45</v>
      </c>
      <c r="E189">
        <v>0.70599999999999996</v>
      </c>
      <c r="F189" t="s">
        <v>46</v>
      </c>
      <c r="G189" t="s">
        <v>47</v>
      </c>
      <c r="H189" t="s">
        <v>45</v>
      </c>
      <c r="I189">
        <v>0.308</v>
      </c>
      <c r="J189" t="s">
        <v>46</v>
      </c>
      <c r="K189" t="s">
        <v>48</v>
      </c>
      <c r="L189" t="s">
        <v>49</v>
      </c>
      <c r="M189" t="s">
        <v>50</v>
      </c>
      <c r="N189" t="s">
        <v>51</v>
      </c>
      <c r="O189">
        <v>3.45</v>
      </c>
      <c r="P189">
        <v>8.26</v>
      </c>
      <c r="Q189" t="s">
        <v>46</v>
      </c>
      <c r="R189" t="s">
        <v>52</v>
      </c>
      <c r="S189" t="s">
        <v>53</v>
      </c>
      <c r="T189" t="s">
        <v>46</v>
      </c>
      <c r="U189" t="s">
        <v>54</v>
      </c>
      <c r="V189" t="s">
        <v>55</v>
      </c>
      <c r="W189" t="s">
        <v>132</v>
      </c>
      <c r="X189" t="s">
        <v>68</v>
      </c>
      <c r="Y189">
        <v>1.32</v>
      </c>
      <c r="Z189" t="s">
        <v>46</v>
      </c>
      <c r="AA189" t="s">
        <v>58</v>
      </c>
      <c r="AB189" t="s">
        <v>59</v>
      </c>
      <c r="AC189">
        <v>283</v>
      </c>
      <c r="AD189" t="s">
        <v>46</v>
      </c>
      <c r="AE189" t="s">
        <v>60</v>
      </c>
      <c r="AF189" t="s">
        <v>45</v>
      </c>
      <c r="AG189" t="s">
        <v>46</v>
      </c>
      <c r="AH189" t="s">
        <v>61</v>
      </c>
      <c r="AI189" t="s">
        <v>48</v>
      </c>
      <c r="AJ189" t="s">
        <v>62</v>
      </c>
      <c r="AK189" t="s">
        <v>63</v>
      </c>
      <c r="AL189" t="s">
        <v>376</v>
      </c>
      <c r="AM189" t="s">
        <v>46</v>
      </c>
      <c r="AN189" t="s">
        <v>60</v>
      </c>
      <c r="AO189" t="s">
        <v>62</v>
      </c>
      <c r="AP189" t="s">
        <v>497</v>
      </c>
      <c r="AQ189" t="s">
        <v>66</v>
      </c>
      <c r="AR189" t="s">
        <v>67</v>
      </c>
    </row>
    <row r="190" spans="1:44">
      <c r="A190" s="1">
        <v>45427</v>
      </c>
      <c r="B190" s="2">
        <v>0.24175925925925926</v>
      </c>
      <c r="C190" t="s">
        <v>44</v>
      </c>
      <c r="D190" t="s">
        <v>45</v>
      </c>
      <c r="E190">
        <v>0.53100000000000003</v>
      </c>
      <c r="F190" t="s">
        <v>46</v>
      </c>
      <c r="G190" t="s">
        <v>47</v>
      </c>
      <c r="H190" t="s">
        <v>45</v>
      </c>
      <c r="I190">
        <v>0.30919999999999997</v>
      </c>
      <c r="J190" t="s">
        <v>46</v>
      </c>
      <c r="K190" t="s">
        <v>48</v>
      </c>
      <c r="L190" t="s">
        <v>49</v>
      </c>
      <c r="M190" t="s">
        <v>50</v>
      </c>
      <c r="N190" t="s">
        <v>51</v>
      </c>
      <c r="O190">
        <v>3.45</v>
      </c>
      <c r="P190">
        <v>8.26</v>
      </c>
      <c r="Q190" t="s">
        <v>46</v>
      </c>
      <c r="R190" t="s">
        <v>52</v>
      </c>
      <c r="S190" t="s">
        <v>53</v>
      </c>
      <c r="T190" t="s">
        <v>46</v>
      </c>
      <c r="U190" t="s">
        <v>54</v>
      </c>
      <c r="V190" t="s">
        <v>55</v>
      </c>
      <c r="W190" t="s">
        <v>498</v>
      </c>
      <c r="X190" t="s">
        <v>82</v>
      </c>
      <c r="Y190">
        <v>1.32</v>
      </c>
      <c r="Z190" t="s">
        <v>46</v>
      </c>
      <c r="AA190" t="s">
        <v>58</v>
      </c>
      <c r="AB190" t="s">
        <v>59</v>
      </c>
      <c r="AC190">
        <v>283</v>
      </c>
      <c r="AD190" t="s">
        <v>46</v>
      </c>
      <c r="AE190" t="s">
        <v>60</v>
      </c>
      <c r="AF190" t="s">
        <v>45</v>
      </c>
      <c r="AG190" t="s">
        <v>46</v>
      </c>
      <c r="AH190" t="s">
        <v>61</v>
      </c>
      <c r="AI190" t="s">
        <v>48</v>
      </c>
      <c r="AJ190" t="s">
        <v>62</v>
      </c>
      <c r="AK190" t="s">
        <v>63</v>
      </c>
      <c r="AL190" t="s">
        <v>376</v>
      </c>
      <c r="AM190" t="s">
        <v>46</v>
      </c>
      <c r="AN190" t="s">
        <v>60</v>
      </c>
      <c r="AO190" t="s">
        <v>62</v>
      </c>
      <c r="AP190" t="s">
        <v>499</v>
      </c>
      <c r="AQ190" t="s">
        <v>66</v>
      </c>
      <c r="AR190" t="s">
        <v>67</v>
      </c>
    </row>
    <row r="191" spans="1:44">
      <c r="A191" s="1">
        <v>45427</v>
      </c>
      <c r="B191" s="2">
        <v>0.24180555555555555</v>
      </c>
      <c r="C191" t="s">
        <v>44</v>
      </c>
      <c r="D191" t="s">
        <v>45</v>
      </c>
      <c r="E191">
        <v>0.58799999999999997</v>
      </c>
      <c r="F191" t="s">
        <v>46</v>
      </c>
      <c r="G191" t="s">
        <v>47</v>
      </c>
      <c r="H191" t="s">
        <v>45</v>
      </c>
      <c r="I191">
        <v>0.30919999999999997</v>
      </c>
      <c r="J191" t="s">
        <v>46</v>
      </c>
      <c r="K191" t="s">
        <v>48</v>
      </c>
      <c r="L191" t="s">
        <v>49</v>
      </c>
      <c r="M191" t="s">
        <v>50</v>
      </c>
      <c r="N191" t="s">
        <v>51</v>
      </c>
      <c r="O191">
        <v>3.45</v>
      </c>
      <c r="P191">
        <v>8.26</v>
      </c>
      <c r="Q191" t="s">
        <v>46</v>
      </c>
      <c r="R191" t="s">
        <v>52</v>
      </c>
      <c r="S191" t="s">
        <v>53</v>
      </c>
      <c r="T191" t="s">
        <v>46</v>
      </c>
      <c r="U191" t="s">
        <v>54</v>
      </c>
      <c r="V191" t="s">
        <v>55</v>
      </c>
      <c r="W191" t="s">
        <v>498</v>
      </c>
      <c r="X191" t="s">
        <v>82</v>
      </c>
      <c r="Y191">
        <v>1.32</v>
      </c>
      <c r="Z191" t="s">
        <v>46</v>
      </c>
      <c r="AA191" t="s">
        <v>58</v>
      </c>
      <c r="AB191" t="s">
        <v>59</v>
      </c>
      <c r="AC191">
        <v>283</v>
      </c>
      <c r="AD191" t="s">
        <v>46</v>
      </c>
      <c r="AE191" t="s">
        <v>60</v>
      </c>
      <c r="AF191" t="s">
        <v>45</v>
      </c>
      <c r="AG191" t="s">
        <v>46</v>
      </c>
      <c r="AH191" t="s">
        <v>61</v>
      </c>
      <c r="AI191" t="s">
        <v>48</v>
      </c>
      <c r="AJ191" t="s">
        <v>62</v>
      </c>
      <c r="AK191" t="s">
        <v>63</v>
      </c>
      <c r="AL191" t="s">
        <v>376</v>
      </c>
      <c r="AM191" t="s">
        <v>46</v>
      </c>
      <c r="AN191" t="s">
        <v>60</v>
      </c>
      <c r="AO191" t="s">
        <v>62</v>
      </c>
      <c r="AP191" t="s">
        <v>500</v>
      </c>
      <c r="AQ191" t="s">
        <v>66</v>
      </c>
      <c r="AR191" t="s">
        <v>67</v>
      </c>
    </row>
    <row r="192" spans="1:44">
      <c r="A192" s="1">
        <v>45427</v>
      </c>
      <c r="B192" s="2">
        <v>0.24185185185185185</v>
      </c>
      <c r="C192" t="s">
        <v>44</v>
      </c>
      <c r="D192" t="s">
        <v>45</v>
      </c>
      <c r="E192">
        <v>0.68600000000000005</v>
      </c>
      <c r="F192" t="s">
        <v>46</v>
      </c>
      <c r="G192" t="s">
        <v>47</v>
      </c>
      <c r="H192" t="s">
        <v>45</v>
      </c>
      <c r="I192">
        <v>0.30919999999999997</v>
      </c>
      <c r="J192" t="s">
        <v>46</v>
      </c>
      <c r="K192" t="s">
        <v>48</v>
      </c>
      <c r="L192" t="s">
        <v>49</v>
      </c>
      <c r="M192" t="s">
        <v>50</v>
      </c>
      <c r="N192" t="s">
        <v>51</v>
      </c>
      <c r="O192">
        <v>3.45</v>
      </c>
      <c r="P192">
        <v>8.26</v>
      </c>
      <c r="Q192" t="s">
        <v>46</v>
      </c>
      <c r="R192" t="s">
        <v>52</v>
      </c>
      <c r="S192" t="s">
        <v>53</v>
      </c>
      <c r="T192" t="s">
        <v>46</v>
      </c>
      <c r="U192" t="s">
        <v>54</v>
      </c>
      <c r="V192" t="s">
        <v>55</v>
      </c>
      <c r="W192" t="s">
        <v>203</v>
      </c>
      <c r="X192" t="s">
        <v>68</v>
      </c>
      <c r="Y192">
        <v>1.32</v>
      </c>
      <c r="Z192" t="s">
        <v>46</v>
      </c>
      <c r="AA192" t="s">
        <v>58</v>
      </c>
      <c r="AB192" t="s">
        <v>59</v>
      </c>
      <c r="AC192">
        <v>283</v>
      </c>
      <c r="AD192" t="s">
        <v>46</v>
      </c>
      <c r="AE192" t="s">
        <v>60</v>
      </c>
      <c r="AF192" t="s">
        <v>45</v>
      </c>
      <c r="AG192" t="s">
        <v>46</v>
      </c>
      <c r="AH192" t="s">
        <v>61</v>
      </c>
      <c r="AI192" t="s">
        <v>48</v>
      </c>
      <c r="AJ192" t="s">
        <v>62</v>
      </c>
      <c r="AK192" t="s">
        <v>63</v>
      </c>
      <c r="AL192" t="s">
        <v>376</v>
      </c>
      <c r="AM192" t="s">
        <v>46</v>
      </c>
      <c r="AN192" t="s">
        <v>60</v>
      </c>
      <c r="AO192" t="s">
        <v>62</v>
      </c>
      <c r="AP192" t="s">
        <v>501</v>
      </c>
      <c r="AQ192" t="s">
        <v>66</v>
      </c>
      <c r="AR192" t="s">
        <v>67</v>
      </c>
    </row>
    <row r="193" spans="1:44">
      <c r="A193" s="1">
        <v>45427</v>
      </c>
      <c r="B193" s="2">
        <v>0.24189814814814814</v>
      </c>
      <c r="C193" t="s">
        <v>44</v>
      </c>
      <c r="D193" t="s">
        <v>45</v>
      </c>
      <c r="E193">
        <v>0.51600000000000001</v>
      </c>
      <c r="F193" t="s">
        <v>46</v>
      </c>
      <c r="G193" t="s">
        <v>47</v>
      </c>
      <c r="H193" t="s">
        <v>45</v>
      </c>
      <c r="I193">
        <v>0.30909999999999999</v>
      </c>
      <c r="J193" t="s">
        <v>46</v>
      </c>
      <c r="K193" t="s">
        <v>48</v>
      </c>
      <c r="L193" t="s">
        <v>49</v>
      </c>
      <c r="M193" t="s">
        <v>50</v>
      </c>
      <c r="N193" t="s">
        <v>51</v>
      </c>
      <c r="O193">
        <v>3.45</v>
      </c>
      <c r="P193">
        <v>8.26</v>
      </c>
      <c r="Q193" t="s">
        <v>46</v>
      </c>
      <c r="R193" t="s">
        <v>52</v>
      </c>
      <c r="S193" t="s">
        <v>53</v>
      </c>
      <c r="T193" t="s">
        <v>46</v>
      </c>
      <c r="U193" t="s">
        <v>54</v>
      </c>
      <c r="V193" t="s">
        <v>55</v>
      </c>
      <c r="W193" t="s">
        <v>74</v>
      </c>
      <c r="X193" t="s">
        <v>68</v>
      </c>
      <c r="Y193">
        <v>1.32</v>
      </c>
      <c r="Z193" t="s">
        <v>46</v>
      </c>
      <c r="AA193" t="s">
        <v>58</v>
      </c>
      <c r="AB193" t="s">
        <v>59</v>
      </c>
      <c r="AC193">
        <v>283</v>
      </c>
      <c r="AD193" t="s">
        <v>46</v>
      </c>
      <c r="AE193" t="s">
        <v>60</v>
      </c>
      <c r="AF193" t="s">
        <v>45</v>
      </c>
      <c r="AG193" t="s">
        <v>46</v>
      </c>
      <c r="AH193" t="s">
        <v>61</v>
      </c>
      <c r="AI193" t="s">
        <v>48</v>
      </c>
      <c r="AJ193" t="s">
        <v>62</v>
      </c>
      <c r="AK193" t="s">
        <v>63</v>
      </c>
      <c r="AL193" t="s">
        <v>376</v>
      </c>
      <c r="AM193" t="s">
        <v>46</v>
      </c>
      <c r="AN193" t="s">
        <v>60</v>
      </c>
      <c r="AO193" t="s">
        <v>62</v>
      </c>
      <c r="AP193" t="s">
        <v>502</v>
      </c>
      <c r="AQ193" t="s">
        <v>66</v>
      </c>
      <c r="AR193" t="s">
        <v>67</v>
      </c>
    </row>
    <row r="194" spans="1:44">
      <c r="A194" s="1">
        <v>45427</v>
      </c>
      <c r="B194" s="2">
        <v>0.24195601851851853</v>
      </c>
      <c r="C194" t="s">
        <v>44</v>
      </c>
      <c r="D194" t="s">
        <v>45</v>
      </c>
      <c r="E194">
        <v>0.54800000000000004</v>
      </c>
      <c r="F194" t="s">
        <v>46</v>
      </c>
      <c r="G194" t="s">
        <v>47</v>
      </c>
      <c r="H194" t="s">
        <v>45</v>
      </c>
      <c r="I194">
        <v>0.30909999999999999</v>
      </c>
      <c r="J194" t="s">
        <v>46</v>
      </c>
      <c r="K194" t="s">
        <v>48</v>
      </c>
      <c r="L194" t="s">
        <v>49</v>
      </c>
      <c r="M194" t="s">
        <v>50</v>
      </c>
      <c r="N194" t="s">
        <v>51</v>
      </c>
      <c r="O194">
        <v>3.45</v>
      </c>
      <c r="P194">
        <v>8.26</v>
      </c>
      <c r="Q194" t="s">
        <v>46</v>
      </c>
      <c r="R194" t="s">
        <v>52</v>
      </c>
      <c r="S194" t="s">
        <v>53</v>
      </c>
      <c r="T194" t="s">
        <v>46</v>
      </c>
      <c r="U194" t="s">
        <v>54</v>
      </c>
      <c r="V194" t="s">
        <v>55</v>
      </c>
      <c r="W194" t="s">
        <v>460</v>
      </c>
      <c r="X194" t="s">
        <v>82</v>
      </c>
      <c r="Y194">
        <v>1.32</v>
      </c>
      <c r="Z194" t="s">
        <v>46</v>
      </c>
      <c r="AA194" t="s">
        <v>58</v>
      </c>
      <c r="AB194" t="s">
        <v>59</v>
      </c>
      <c r="AC194">
        <v>283</v>
      </c>
      <c r="AD194" t="s">
        <v>46</v>
      </c>
      <c r="AE194" t="s">
        <v>60</v>
      </c>
      <c r="AF194" t="s">
        <v>45</v>
      </c>
      <c r="AG194" t="s">
        <v>46</v>
      </c>
      <c r="AH194" t="s">
        <v>61</v>
      </c>
      <c r="AI194" t="s">
        <v>48</v>
      </c>
      <c r="AJ194" t="s">
        <v>62</v>
      </c>
      <c r="AK194" t="s">
        <v>63</v>
      </c>
      <c r="AL194" t="s">
        <v>376</v>
      </c>
      <c r="AM194" t="s">
        <v>46</v>
      </c>
      <c r="AN194" t="s">
        <v>60</v>
      </c>
      <c r="AO194" t="s">
        <v>62</v>
      </c>
      <c r="AP194" t="s">
        <v>503</v>
      </c>
      <c r="AQ194" t="s">
        <v>66</v>
      </c>
      <c r="AR194" t="s">
        <v>67</v>
      </c>
    </row>
    <row r="195" spans="1:44">
      <c r="A195" s="1">
        <v>45427</v>
      </c>
      <c r="B195" s="2">
        <v>0.24200231481481482</v>
      </c>
      <c r="C195" t="s">
        <v>44</v>
      </c>
      <c r="D195" t="s">
        <v>45</v>
      </c>
      <c r="E195">
        <v>0.75</v>
      </c>
      <c r="F195" t="s">
        <v>46</v>
      </c>
      <c r="G195" t="s">
        <v>47</v>
      </c>
      <c r="H195" t="s">
        <v>45</v>
      </c>
      <c r="I195">
        <v>0.30919999999999997</v>
      </c>
      <c r="J195" t="s">
        <v>46</v>
      </c>
      <c r="K195" t="s">
        <v>48</v>
      </c>
      <c r="L195" t="s">
        <v>49</v>
      </c>
      <c r="M195" t="s">
        <v>50</v>
      </c>
      <c r="N195" t="s">
        <v>51</v>
      </c>
      <c r="O195">
        <v>3.45</v>
      </c>
      <c r="P195">
        <v>8.26</v>
      </c>
      <c r="Q195" t="s">
        <v>46</v>
      </c>
      <c r="R195" t="s">
        <v>52</v>
      </c>
      <c r="S195" t="s">
        <v>53</v>
      </c>
      <c r="T195" t="s">
        <v>46</v>
      </c>
      <c r="U195" t="s">
        <v>54</v>
      </c>
      <c r="V195" t="s">
        <v>55</v>
      </c>
      <c r="W195" t="s">
        <v>333</v>
      </c>
      <c r="X195" t="s">
        <v>82</v>
      </c>
      <c r="Y195">
        <v>1.32</v>
      </c>
      <c r="Z195" t="s">
        <v>46</v>
      </c>
      <c r="AA195" t="s">
        <v>58</v>
      </c>
      <c r="AB195" t="s">
        <v>59</v>
      </c>
      <c r="AC195">
        <v>283</v>
      </c>
      <c r="AD195" t="s">
        <v>46</v>
      </c>
      <c r="AE195" t="s">
        <v>60</v>
      </c>
      <c r="AF195" t="s">
        <v>45</v>
      </c>
      <c r="AG195" t="s">
        <v>46</v>
      </c>
      <c r="AH195" t="s">
        <v>61</v>
      </c>
      <c r="AI195" t="s">
        <v>48</v>
      </c>
      <c r="AJ195" t="s">
        <v>62</v>
      </c>
      <c r="AK195" t="s">
        <v>63</v>
      </c>
      <c r="AL195" t="s">
        <v>376</v>
      </c>
      <c r="AM195" t="s">
        <v>46</v>
      </c>
      <c r="AN195" t="s">
        <v>60</v>
      </c>
      <c r="AO195" t="s">
        <v>62</v>
      </c>
      <c r="AP195" t="s">
        <v>504</v>
      </c>
      <c r="AQ195" t="s">
        <v>66</v>
      </c>
      <c r="AR195" t="s">
        <v>67</v>
      </c>
    </row>
    <row r="196" spans="1:44">
      <c r="A196" s="1">
        <v>45427</v>
      </c>
      <c r="B196" s="2">
        <v>0.24204861111111112</v>
      </c>
      <c r="C196" t="s">
        <v>44</v>
      </c>
      <c r="D196" t="s">
        <v>45</v>
      </c>
      <c r="E196">
        <v>0.5</v>
      </c>
      <c r="F196" t="s">
        <v>46</v>
      </c>
      <c r="G196" t="s">
        <v>47</v>
      </c>
      <c r="H196" t="s">
        <v>45</v>
      </c>
      <c r="I196">
        <v>0.30919999999999997</v>
      </c>
      <c r="J196" t="s">
        <v>46</v>
      </c>
      <c r="K196" t="s">
        <v>48</v>
      </c>
      <c r="L196" t="s">
        <v>49</v>
      </c>
      <c r="M196" t="s">
        <v>50</v>
      </c>
      <c r="N196" t="s">
        <v>51</v>
      </c>
      <c r="O196">
        <v>3.45</v>
      </c>
      <c r="P196">
        <v>8.26</v>
      </c>
      <c r="Q196" t="s">
        <v>46</v>
      </c>
      <c r="R196" t="s">
        <v>52</v>
      </c>
      <c r="S196" t="s">
        <v>53</v>
      </c>
      <c r="T196" t="s">
        <v>46</v>
      </c>
      <c r="U196" t="s">
        <v>54</v>
      </c>
      <c r="V196" t="s">
        <v>55</v>
      </c>
      <c r="W196" t="s">
        <v>213</v>
      </c>
      <c r="X196" t="s">
        <v>68</v>
      </c>
      <c r="Y196">
        <v>1.32</v>
      </c>
      <c r="Z196" t="s">
        <v>46</v>
      </c>
      <c r="AA196" t="s">
        <v>58</v>
      </c>
      <c r="AB196" t="s">
        <v>59</v>
      </c>
      <c r="AC196">
        <v>283</v>
      </c>
      <c r="AD196" t="s">
        <v>46</v>
      </c>
      <c r="AE196" t="s">
        <v>60</v>
      </c>
      <c r="AF196" t="s">
        <v>45</v>
      </c>
      <c r="AG196" t="s">
        <v>46</v>
      </c>
      <c r="AH196" t="s">
        <v>61</v>
      </c>
      <c r="AI196" t="s">
        <v>48</v>
      </c>
      <c r="AJ196" t="s">
        <v>62</v>
      </c>
      <c r="AK196" t="s">
        <v>63</v>
      </c>
      <c r="AL196" t="s">
        <v>376</v>
      </c>
      <c r="AM196" t="s">
        <v>46</v>
      </c>
      <c r="AN196" t="s">
        <v>60</v>
      </c>
      <c r="AO196" t="s">
        <v>62</v>
      </c>
      <c r="AP196" t="s">
        <v>505</v>
      </c>
      <c r="AQ196" t="s">
        <v>66</v>
      </c>
      <c r="AR196" t="s">
        <v>67</v>
      </c>
    </row>
    <row r="197" spans="1:44">
      <c r="A197" s="1">
        <v>45427</v>
      </c>
      <c r="B197" s="2">
        <v>0.24209490740740741</v>
      </c>
      <c r="C197" t="s">
        <v>44</v>
      </c>
      <c r="D197" t="s">
        <v>45</v>
      </c>
      <c r="E197">
        <v>0.5</v>
      </c>
      <c r="F197" t="s">
        <v>46</v>
      </c>
      <c r="G197" t="s">
        <v>47</v>
      </c>
      <c r="H197" t="s">
        <v>45</v>
      </c>
      <c r="I197">
        <v>0.30919999999999997</v>
      </c>
      <c r="J197" t="s">
        <v>46</v>
      </c>
      <c r="K197" t="s">
        <v>48</v>
      </c>
      <c r="L197" t="s">
        <v>49</v>
      </c>
      <c r="M197" t="s">
        <v>50</v>
      </c>
      <c r="N197" t="s">
        <v>51</v>
      </c>
      <c r="O197">
        <v>3.45</v>
      </c>
      <c r="P197">
        <v>8.26</v>
      </c>
      <c r="Q197" t="s">
        <v>46</v>
      </c>
      <c r="R197" t="s">
        <v>52</v>
      </c>
      <c r="S197" t="s">
        <v>53</v>
      </c>
      <c r="T197" t="s">
        <v>46</v>
      </c>
      <c r="U197" t="s">
        <v>54</v>
      </c>
      <c r="V197" t="s">
        <v>55</v>
      </c>
      <c r="W197" t="s">
        <v>174</v>
      </c>
      <c r="X197" t="s">
        <v>340</v>
      </c>
      <c r="Y197">
        <v>1.33</v>
      </c>
      <c r="Z197" t="s">
        <v>46</v>
      </c>
      <c r="AA197" t="s">
        <v>58</v>
      </c>
      <c r="AB197" t="s">
        <v>59</v>
      </c>
      <c r="AC197">
        <v>283</v>
      </c>
      <c r="AD197" t="s">
        <v>46</v>
      </c>
      <c r="AE197" t="s">
        <v>60</v>
      </c>
      <c r="AF197" t="s">
        <v>45</v>
      </c>
      <c r="AG197" t="s">
        <v>46</v>
      </c>
      <c r="AH197" t="s">
        <v>61</v>
      </c>
      <c r="AI197" t="s">
        <v>48</v>
      </c>
      <c r="AJ197" t="s">
        <v>62</v>
      </c>
      <c r="AK197" t="s">
        <v>63</v>
      </c>
      <c r="AL197" t="s">
        <v>376</v>
      </c>
      <c r="AM197" t="s">
        <v>46</v>
      </c>
      <c r="AN197" t="s">
        <v>60</v>
      </c>
      <c r="AO197" t="s">
        <v>62</v>
      </c>
      <c r="AP197" t="s">
        <v>506</v>
      </c>
      <c r="AQ197" t="s">
        <v>66</v>
      </c>
      <c r="AR197" t="s">
        <v>67</v>
      </c>
    </row>
    <row r="198" spans="1:44">
      <c r="A198" s="1">
        <v>45427</v>
      </c>
      <c r="B198" s="2">
        <v>0.24214120370370371</v>
      </c>
      <c r="C198" t="s">
        <v>44</v>
      </c>
      <c r="D198" t="s">
        <v>45</v>
      </c>
      <c r="E198">
        <v>0.93899999999999995</v>
      </c>
      <c r="F198" t="s">
        <v>46</v>
      </c>
      <c r="G198" t="s">
        <v>47</v>
      </c>
      <c r="H198" t="s">
        <v>45</v>
      </c>
      <c r="I198">
        <v>0.30890000000000001</v>
      </c>
      <c r="J198" t="s">
        <v>46</v>
      </c>
      <c r="K198" t="s">
        <v>48</v>
      </c>
      <c r="L198" t="s">
        <v>49</v>
      </c>
      <c r="M198" t="s">
        <v>50</v>
      </c>
      <c r="N198" t="s">
        <v>51</v>
      </c>
      <c r="O198">
        <v>3.45</v>
      </c>
      <c r="P198">
        <v>8.26</v>
      </c>
      <c r="Q198" t="s">
        <v>46</v>
      </c>
      <c r="R198" t="s">
        <v>52</v>
      </c>
      <c r="S198" t="s">
        <v>53</v>
      </c>
      <c r="T198" t="s">
        <v>46</v>
      </c>
      <c r="U198" t="s">
        <v>54</v>
      </c>
      <c r="V198" t="s">
        <v>55</v>
      </c>
      <c r="W198" t="s">
        <v>174</v>
      </c>
      <c r="X198" t="s">
        <v>340</v>
      </c>
      <c r="Y198">
        <v>1.33</v>
      </c>
      <c r="Z198" t="s">
        <v>46</v>
      </c>
      <c r="AA198" t="s">
        <v>58</v>
      </c>
      <c r="AB198" t="s">
        <v>59</v>
      </c>
      <c r="AC198">
        <v>284</v>
      </c>
      <c r="AD198" t="s">
        <v>46</v>
      </c>
      <c r="AE198" t="s">
        <v>60</v>
      </c>
      <c r="AF198" t="s">
        <v>45</v>
      </c>
      <c r="AG198" t="s">
        <v>46</v>
      </c>
      <c r="AH198" t="s">
        <v>61</v>
      </c>
      <c r="AI198" t="s">
        <v>48</v>
      </c>
      <c r="AJ198" t="s">
        <v>62</v>
      </c>
      <c r="AK198" t="s">
        <v>63</v>
      </c>
      <c r="AL198" t="s">
        <v>376</v>
      </c>
      <c r="AM198" t="s">
        <v>46</v>
      </c>
      <c r="AN198" t="s">
        <v>60</v>
      </c>
      <c r="AO198" t="s">
        <v>62</v>
      </c>
      <c r="AP198" t="s">
        <v>507</v>
      </c>
      <c r="AQ198" t="s">
        <v>66</v>
      </c>
      <c r="AR198" t="s">
        <v>67</v>
      </c>
    </row>
    <row r="199" spans="1:44">
      <c r="A199" s="1">
        <v>45427</v>
      </c>
      <c r="B199" s="2">
        <v>0.24219907407407407</v>
      </c>
      <c r="C199" t="s">
        <v>44</v>
      </c>
      <c r="D199" t="s">
        <v>45</v>
      </c>
      <c r="E199">
        <v>0.51500000000000001</v>
      </c>
      <c r="F199" t="s">
        <v>46</v>
      </c>
      <c r="G199" t="s">
        <v>47</v>
      </c>
      <c r="H199" t="s">
        <v>45</v>
      </c>
      <c r="I199">
        <v>0.30890000000000001</v>
      </c>
      <c r="J199" t="s">
        <v>46</v>
      </c>
      <c r="K199" t="s">
        <v>48</v>
      </c>
      <c r="L199" t="s">
        <v>49</v>
      </c>
      <c r="M199" t="s">
        <v>50</v>
      </c>
      <c r="N199" t="s">
        <v>51</v>
      </c>
      <c r="O199">
        <v>3.45</v>
      </c>
      <c r="P199">
        <v>8.26</v>
      </c>
      <c r="Q199" t="s">
        <v>46</v>
      </c>
      <c r="R199" t="s">
        <v>52</v>
      </c>
      <c r="S199" t="s">
        <v>53</v>
      </c>
      <c r="T199" t="s">
        <v>46</v>
      </c>
      <c r="U199" t="s">
        <v>54</v>
      </c>
      <c r="V199" t="s">
        <v>55</v>
      </c>
      <c r="W199" t="s">
        <v>149</v>
      </c>
      <c r="X199" t="s">
        <v>498</v>
      </c>
      <c r="Y199">
        <v>1.36</v>
      </c>
      <c r="Z199" t="s">
        <v>46</v>
      </c>
      <c r="AA199" t="s">
        <v>58</v>
      </c>
      <c r="AB199" t="s">
        <v>59</v>
      </c>
      <c r="AC199">
        <v>283</v>
      </c>
      <c r="AD199" t="s">
        <v>46</v>
      </c>
      <c r="AE199" t="s">
        <v>60</v>
      </c>
      <c r="AF199" t="s">
        <v>45</v>
      </c>
      <c r="AG199" t="s">
        <v>46</v>
      </c>
      <c r="AH199" t="s">
        <v>61</v>
      </c>
      <c r="AI199" t="s">
        <v>48</v>
      </c>
      <c r="AJ199" t="s">
        <v>62</v>
      </c>
      <c r="AK199" t="s">
        <v>63</v>
      </c>
      <c r="AL199" t="s">
        <v>376</v>
      </c>
      <c r="AM199" t="s">
        <v>46</v>
      </c>
      <c r="AN199" t="s">
        <v>60</v>
      </c>
      <c r="AO199" t="s">
        <v>62</v>
      </c>
      <c r="AP199" t="s">
        <v>508</v>
      </c>
      <c r="AQ199" t="s">
        <v>66</v>
      </c>
      <c r="AR199" t="s">
        <v>67</v>
      </c>
    </row>
    <row r="200" spans="1:44">
      <c r="A200" s="1">
        <v>45427</v>
      </c>
      <c r="B200" s="2">
        <v>0.24224537037037036</v>
      </c>
      <c r="C200" t="s">
        <v>44</v>
      </c>
      <c r="D200" t="s">
        <v>45</v>
      </c>
      <c r="E200">
        <v>0.54800000000000004</v>
      </c>
      <c r="F200" t="s">
        <v>46</v>
      </c>
      <c r="G200" t="s">
        <v>47</v>
      </c>
      <c r="H200" t="s">
        <v>45</v>
      </c>
      <c r="I200">
        <v>0.30909999999999999</v>
      </c>
      <c r="J200" t="s">
        <v>46</v>
      </c>
      <c r="K200" t="s">
        <v>48</v>
      </c>
      <c r="L200" t="s">
        <v>49</v>
      </c>
      <c r="M200" t="s">
        <v>50</v>
      </c>
      <c r="N200" t="s">
        <v>51</v>
      </c>
      <c r="O200">
        <v>3.45</v>
      </c>
      <c r="P200">
        <v>8.26</v>
      </c>
      <c r="Q200" t="s">
        <v>46</v>
      </c>
      <c r="R200" t="s">
        <v>52</v>
      </c>
      <c r="S200" t="s">
        <v>53</v>
      </c>
      <c r="T200" t="s">
        <v>46</v>
      </c>
      <c r="U200" t="s">
        <v>54</v>
      </c>
      <c r="V200" t="s">
        <v>55</v>
      </c>
      <c r="W200" t="s">
        <v>509</v>
      </c>
      <c r="X200" t="s">
        <v>139</v>
      </c>
      <c r="Y200">
        <v>1.4</v>
      </c>
      <c r="Z200" t="s">
        <v>46</v>
      </c>
      <c r="AA200" t="s">
        <v>58</v>
      </c>
      <c r="AB200" t="s">
        <v>59</v>
      </c>
      <c r="AC200">
        <v>283</v>
      </c>
      <c r="AD200" t="s">
        <v>46</v>
      </c>
      <c r="AE200" t="s">
        <v>60</v>
      </c>
      <c r="AF200" t="s">
        <v>45</v>
      </c>
      <c r="AG200" t="s">
        <v>46</v>
      </c>
      <c r="AH200" t="s">
        <v>61</v>
      </c>
      <c r="AI200" t="s">
        <v>48</v>
      </c>
      <c r="AJ200" t="s">
        <v>62</v>
      </c>
      <c r="AK200" t="s">
        <v>63</v>
      </c>
      <c r="AL200" t="s">
        <v>376</v>
      </c>
      <c r="AM200" t="s">
        <v>46</v>
      </c>
      <c r="AN200" t="s">
        <v>60</v>
      </c>
      <c r="AO200" t="s">
        <v>62</v>
      </c>
      <c r="AP200" t="s">
        <v>510</v>
      </c>
      <c r="AQ200" t="s">
        <v>66</v>
      </c>
      <c r="AR200" t="s">
        <v>67</v>
      </c>
    </row>
    <row r="201" spans="1:44">
      <c r="A201" s="1">
        <v>45427</v>
      </c>
      <c r="B201" s="2">
        <v>0.24229166666666666</v>
      </c>
      <c r="C201" t="s">
        <v>44</v>
      </c>
      <c r="D201" t="s">
        <v>45</v>
      </c>
      <c r="E201">
        <v>0.70599999999999996</v>
      </c>
      <c r="F201" t="s">
        <v>46</v>
      </c>
      <c r="G201" t="s">
        <v>47</v>
      </c>
      <c r="H201" t="s">
        <v>45</v>
      </c>
      <c r="I201">
        <v>0.30919999999999997</v>
      </c>
      <c r="J201" t="s">
        <v>46</v>
      </c>
      <c r="K201" t="s">
        <v>48</v>
      </c>
      <c r="L201" t="s">
        <v>49</v>
      </c>
      <c r="M201" t="s">
        <v>50</v>
      </c>
      <c r="N201" t="s">
        <v>51</v>
      </c>
      <c r="O201">
        <v>3.45</v>
      </c>
      <c r="P201">
        <v>8.26</v>
      </c>
      <c r="Q201" t="s">
        <v>46</v>
      </c>
      <c r="R201" t="s">
        <v>52</v>
      </c>
      <c r="S201" t="s">
        <v>53</v>
      </c>
      <c r="T201" t="s">
        <v>46</v>
      </c>
      <c r="U201" t="s">
        <v>54</v>
      </c>
      <c r="V201" t="s">
        <v>55</v>
      </c>
      <c r="W201" t="s">
        <v>511</v>
      </c>
      <c r="X201" t="s">
        <v>162</v>
      </c>
      <c r="Y201">
        <v>1.4</v>
      </c>
      <c r="Z201" t="s">
        <v>46</v>
      </c>
      <c r="AA201" t="s">
        <v>58</v>
      </c>
      <c r="AB201" t="s">
        <v>59</v>
      </c>
      <c r="AC201">
        <v>283</v>
      </c>
      <c r="AD201" t="s">
        <v>46</v>
      </c>
      <c r="AE201" t="s">
        <v>60</v>
      </c>
      <c r="AF201" t="s">
        <v>45</v>
      </c>
      <c r="AG201" t="s">
        <v>46</v>
      </c>
      <c r="AH201" t="s">
        <v>61</v>
      </c>
      <c r="AI201" t="s">
        <v>48</v>
      </c>
      <c r="AJ201" t="s">
        <v>62</v>
      </c>
      <c r="AK201" t="s">
        <v>63</v>
      </c>
      <c r="AL201" t="s">
        <v>376</v>
      </c>
      <c r="AM201" t="s">
        <v>46</v>
      </c>
      <c r="AN201" t="s">
        <v>60</v>
      </c>
      <c r="AO201" t="s">
        <v>62</v>
      </c>
      <c r="AP201" t="s">
        <v>512</v>
      </c>
      <c r="AQ201" t="s">
        <v>66</v>
      </c>
      <c r="AR201" t="s">
        <v>67</v>
      </c>
    </row>
    <row r="202" spans="1:44">
      <c r="A202" s="1">
        <v>45427</v>
      </c>
      <c r="B202" s="2">
        <v>0.24233796296296295</v>
      </c>
      <c r="C202" t="s">
        <v>44</v>
      </c>
      <c r="D202" t="s">
        <v>45</v>
      </c>
      <c r="E202">
        <v>0.51500000000000001</v>
      </c>
      <c r="F202" t="s">
        <v>46</v>
      </c>
      <c r="G202" t="s">
        <v>47</v>
      </c>
      <c r="H202" t="s">
        <v>45</v>
      </c>
      <c r="I202">
        <v>0.30930000000000002</v>
      </c>
      <c r="J202" t="s">
        <v>46</v>
      </c>
      <c r="K202" t="s">
        <v>48</v>
      </c>
      <c r="L202" t="s">
        <v>49</v>
      </c>
      <c r="M202" t="s">
        <v>50</v>
      </c>
      <c r="N202" t="s">
        <v>51</v>
      </c>
      <c r="O202">
        <v>3.45</v>
      </c>
      <c r="P202">
        <v>8.26</v>
      </c>
      <c r="Q202" t="s">
        <v>46</v>
      </c>
      <c r="R202" t="s">
        <v>52</v>
      </c>
      <c r="S202" t="s">
        <v>53</v>
      </c>
      <c r="T202" t="s">
        <v>46</v>
      </c>
      <c r="U202" t="s">
        <v>54</v>
      </c>
      <c r="V202" t="s">
        <v>55</v>
      </c>
      <c r="W202" t="s">
        <v>513</v>
      </c>
      <c r="X202" t="s">
        <v>77</v>
      </c>
      <c r="Y202">
        <v>1.4</v>
      </c>
      <c r="Z202" t="s">
        <v>46</v>
      </c>
      <c r="AA202" t="s">
        <v>58</v>
      </c>
      <c r="AB202" t="s">
        <v>59</v>
      </c>
      <c r="AC202">
        <v>283</v>
      </c>
      <c r="AD202" t="s">
        <v>46</v>
      </c>
      <c r="AE202" t="s">
        <v>60</v>
      </c>
      <c r="AF202" t="s">
        <v>45</v>
      </c>
      <c r="AG202" t="s">
        <v>46</v>
      </c>
      <c r="AH202" t="s">
        <v>61</v>
      </c>
      <c r="AI202" t="s">
        <v>48</v>
      </c>
      <c r="AJ202" t="s">
        <v>62</v>
      </c>
      <c r="AK202" t="s">
        <v>63</v>
      </c>
      <c r="AL202" t="s">
        <v>376</v>
      </c>
      <c r="AM202" t="s">
        <v>46</v>
      </c>
      <c r="AN202" t="s">
        <v>60</v>
      </c>
      <c r="AO202" t="s">
        <v>62</v>
      </c>
      <c r="AP202" t="s">
        <v>514</v>
      </c>
      <c r="AQ202" t="s">
        <v>66</v>
      </c>
      <c r="AR202" t="s">
        <v>67</v>
      </c>
    </row>
    <row r="203" spans="1:44">
      <c r="A203" s="1">
        <v>45427</v>
      </c>
      <c r="B203" s="2">
        <v>0.24239583333333334</v>
      </c>
      <c r="C203" t="s">
        <v>44</v>
      </c>
      <c r="D203" t="s">
        <v>45</v>
      </c>
      <c r="E203">
        <v>0.54500000000000004</v>
      </c>
      <c r="F203" t="s">
        <v>46</v>
      </c>
      <c r="G203" t="s">
        <v>47</v>
      </c>
      <c r="H203" t="s">
        <v>45</v>
      </c>
      <c r="I203">
        <v>0.30940000000000001</v>
      </c>
      <c r="J203" t="s">
        <v>46</v>
      </c>
      <c r="K203" t="s">
        <v>48</v>
      </c>
      <c r="L203" t="s">
        <v>49</v>
      </c>
      <c r="M203" t="s">
        <v>50</v>
      </c>
      <c r="N203" t="s">
        <v>51</v>
      </c>
      <c r="O203">
        <v>3.45</v>
      </c>
      <c r="P203">
        <v>8.26</v>
      </c>
      <c r="Q203" t="s">
        <v>46</v>
      </c>
      <c r="R203" t="s">
        <v>52</v>
      </c>
      <c r="S203" t="s">
        <v>53</v>
      </c>
      <c r="T203" t="s">
        <v>46</v>
      </c>
      <c r="U203" t="s">
        <v>54</v>
      </c>
      <c r="V203" t="s">
        <v>55</v>
      </c>
      <c r="W203" t="s">
        <v>78</v>
      </c>
      <c r="X203" t="s">
        <v>77</v>
      </c>
      <c r="Y203">
        <v>1.4</v>
      </c>
      <c r="Z203" t="s">
        <v>46</v>
      </c>
      <c r="AA203" t="s">
        <v>58</v>
      </c>
      <c r="AB203" t="s">
        <v>59</v>
      </c>
      <c r="AC203">
        <v>283</v>
      </c>
      <c r="AD203" t="s">
        <v>46</v>
      </c>
      <c r="AE203" t="s">
        <v>60</v>
      </c>
      <c r="AF203" t="s">
        <v>45</v>
      </c>
      <c r="AG203" t="s">
        <v>46</v>
      </c>
      <c r="AH203" t="s">
        <v>61</v>
      </c>
      <c r="AI203" t="s">
        <v>48</v>
      </c>
      <c r="AJ203" t="s">
        <v>62</v>
      </c>
      <c r="AK203" t="s">
        <v>63</v>
      </c>
      <c r="AL203" t="s">
        <v>376</v>
      </c>
      <c r="AM203" t="s">
        <v>46</v>
      </c>
      <c r="AN203" t="s">
        <v>60</v>
      </c>
      <c r="AO203" t="s">
        <v>62</v>
      </c>
      <c r="AP203" t="s">
        <v>515</v>
      </c>
      <c r="AQ203" t="s">
        <v>66</v>
      </c>
      <c r="AR203" t="s">
        <v>67</v>
      </c>
    </row>
    <row r="204" spans="1:44">
      <c r="A204" s="1">
        <v>45427</v>
      </c>
      <c r="B204" s="2">
        <v>0.24244212962962963</v>
      </c>
      <c r="C204" t="s">
        <v>44</v>
      </c>
      <c r="D204" t="s">
        <v>45</v>
      </c>
      <c r="E204">
        <v>0.75</v>
      </c>
      <c r="F204" t="s">
        <v>46</v>
      </c>
      <c r="G204" t="s">
        <v>47</v>
      </c>
      <c r="H204" t="s">
        <v>45</v>
      </c>
      <c r="I204">
        <v>0.30909999999999999</v>
      </c>
      <c r="J204" t="s">
        <v>46</v>
      </c>
      <c r="K204" t="s">
        <v>48</v>
      </c>
      <c r="L204" t="s">
        <v>49</v>
      </c>
      <c r="M204" t="s">
        <v>50</v>
      </c>
      <c r="N204" t="s">
        <v>51</v>
      </c>
      <c r="O204">
        <v>3.45</v>
      </c>
      <c r="P204">
        <v>8.26</v>
      </c>
      <c r="Q204" t="s">
        <v>46</v>
      </c>
      <c r="R204" t="s">
        <v>52</v>
      </c>
      <c r="S204" t="s">
        <v>53</v>
      </c>
      <c r="T204" t="s">
        <v>46</v>
      </c>
      <c r="U204" t="s">
        <v>54</v>
      </c>
      <c r="V204" t="s">
        <v>55</v>
      </c>
      <c r="W204" t="s">
        <v>78</v>
      </c>
      <c r="X204" t="s">
        <v>77</v>
      </c>
      <c r="Y204">
        <v>1.4</v>
      </c>
      <c r="Z204" t="s">
        <v>46</v>
      </c>
      <c r="AA204" t="s">
        <v>58</v>
      </c>
      <c r="AB204" t="s">
        <v>59</v>
      </c>
      <c r="AC204">
        <v>283</v>
      </c>
      <c r="AD204" t="s">
        <v>46</v>
      </c>
      <c r="AE204" t="s">
        <v>60</v>
      </c>
      <c r="AF204" t="s">
        <v>45</v>
      </c>
      <c r="AG204" t="s">
        <v>46</v>
      </c>
      <c r="AH204" t="s">
        <v>61</v>
      </c>
      <c r="AI204" t="s">
        <v>48</v>
      </c>
      <c r="AJ204" t="s">
        <v>62</v>
      </c>
      <c r="AK204" t="s">
        <v>63</v>
      </c>
      <c r="AL204" t="s">
        <v>376</v>
      </c>
      <c r="AM204" t="s">
        <v>46</v>
      </c>
      <c r="AN204" t="s">
        <v>60</v>
      </c>
      <c r="AO204" t="s">
        <v>62</v>
      </c>
      <c r="AP204" t="s">
        <v>516</v>
      </c>
      <c r="AQ204" t="s">
        <v>66</v>
      </c>
      <c r="AR204" t="s">
        <v>67</v>
      </c>
    </row>
    <row r="205" spans="1:44">
      <c r="A205" s="1">
        <v>45427</v>
      </c>
      <c r="B205" s="2">
        <v>0.24248842592592593</v>
      </c>
      <c r="C205" t="s">
        <v>44</v>
      </c>
      <c r="D205" t="s">
        <v>45</v>
      </c>
      <c r="E205">
        <v>0.57599999999999996</v>
      </c>
      <c r="F205" t="s">
        <v>46</v>
      </c>
      <c r="G205" t="s">
        <v>47</v>
      </c>
      <c r="H205" t="s">
        <v>45</v>
      </c>
      <c r="I205">
        <v>0.30940000000000001</v>
      </c>
      <c r="J205" t="s">
        <v>46</v>
      </c>
      <c r="K205" t="s">
        <v>48</v>
      </c>
      <c r="L205" t="s">
        <v>49</v>
      </c>
      <c r="M205" t="s">
        <v>50</v>
      </c>
      <c r="N205" t="s">
        <v>51</v>
      </c>
      <c r="O205">
        <v>3.45</v>
      </c>
      <c r="P205">
        <v>8.26</v>
      </c>
      <c r="Q205" t="s">
        <v>46</v>
      </c>
      <c r="R205" t="s">
        <v>52</v>
      </c>
      <c r="S205" t="s">
        <v>53</v>
      </c>
      <c r="T205" t="s">
        <v>46</v>
      </c>
      <c r="U205" t="s">
        <v>54</v>
      </c>
      <c r="V205" t="s">
        <v>55</v>
      </c>
      <c r="W205" t="s">
        <v>517</v>
      </c>
      <c r="X205" t="s">
        <v>193</v>
      </c>
      <c r="Y205">
        <v>1.41</v>
      </c>
      <c r="Z205" t="s">
        <v>46</v>
      </c>
      <c r="AA205" t="s">
        <v>58</v>
      </c>
      <c r="AB205" t="s">
        <v>59</v>
      </c>
      <c r="AC205">
        <v>283</v>
      </c>
      <c r="AD205" t="s">
        <v>46</v>
      </c>
      <c r="AE205" t="s">
        <v>60</v>
      </c>
      <c r="AF205" t="s">
        <v>45</v>
      </c>
      <c r="AG205" t="s">
        <v>46</v>
      </c>
      <c r="AH205" t="s">
        <v>61</v>
      </c>
      <c r="AI205" t="s">
        <v>48</v>
      </c>
      <c r="AJ205" t="s">
        <v>62</v>
      </c>
      <c r="AK205" t="s">
        <v>63</v>
      </c>
      <c r="AL205" t="s">
        <v>376</v>
      </c>
      <c r="AM205" t="s">
        <v>46</v>
      </c>
      <c r="AN205" t="s">
        <v>60</v>
      </c>
      <c r="AO205" t="s">
        <v>62</v>
      </c>
      <c r="AP205" t="s">
        <v>518</v>
      </c>
      <c r="AQ205" t="s">
        <v>66</v>
      </c>
      <c r="AR205" t="s">
        <v>67</v>
      </c>
    </row>
    <row r="206" spans="1:44">
      <c r="A206" s="1">
        <v>45427</v>
      </c>
      <c r="B206" s="2">
        <v>0.24253472222222222</v>
      </c>
      <c r="C206" t="s">
        <v>44</v>
      </c>
      <c r="D206" t="s">
        <v>45</v>
      </c>
      <c r="E206">
        <v>0.56200000000000006</v>
      </c>
      <c r="F206" t="s">
        <v>46</v>
      </c>
      <c r="G206" t="s">
        <v>47</v>
      </c>
      <c r="H206" t="s">
        <v>45</v>
      </c>
      <c r="I206">
        <v>0.30940000000000001</v>
      </c>
      <c r="J206" t="s">
        <v>46</v>
      </c>
      <c r="K206" t="s">
        <v>48</v>
      </c>
      <c r="L206" t="s">
        <v>49</v>
      </c>
      <c r="M206" t="s">
        <v>50</v>
      </c>
      <c r="N206" t="s">
        <v>51</v>
      </c>
      <c r="O206">
        <v>3.45</v>
      </c>
      <c r="P206">
        <v>8.26</v>
      </c>
      <c r="Q206" t="s">
        <v>46</v>
      </c>
      <c r="R206" t="s">
        <v>52</v>
      </c>
      <c r="S206" t="s">
        <v>53</v>
      </c>
      <c r="T206" t="s">
        <v>46</v>
      </c>
      <c r="U206" t="s">
        <v>54</v>
      </c>
      <c r="V206" t="s">
        <v>55</v>
      </c>
      <c r="W206" t="s">
        <v>519</v>
      </c>
      <c r="X206" t="s">
        <v>139</v>
      </c>
      <c r="Y206">
        <v>1.41</v>
      </c>
      <c r="Z206" t="s">
        <v>46</v>
      </c>
      <c r="AA206" t="s">
        <v>58</v>
      </c>
      <c r="AB206" t="s">
        <v>59</v>
      </c>
      <c r="AC206">
        <v>283</v>
      </c>
      <c r="AD206" t="s">
        <v>46</v>
      </c>
      <c r="AE206" t="s">
        <v>60</v>
      </c>
      <c r="AF206" t="s">
        <v>45</v>
      </c>
      <c r="AG206" t="s">
        <v>46</v>
      </c>
      <c r="AH206" t="s">
        <v>61</v>
      </c>
      <c r="AI206" t="s">
        <v>48</v>
      </c>
      <c r="AJ206" t="s">
        <v>62</v>
      </c>
      <c r="AK206" t="s">
        <v>63</v>
      </c>
      <c r="AL206" t="s">
        <v>376</v>
      </c>
      <c r="AM206" t="s">
        <v>46</v>
      </c>
      <c r="AN206" t="s">
        <v>60</v>
      </c>
      <c r="AO206" t="s">
        <v>62</v>
      </c>
      <c r="AP206" t="s">
        <v>520</v>
      </c>
      <c r="AQ206" t="s">
        <v>66</v>
      </c>
      <c r="AR206" t="s">
        <v>67</v>
      </c>
    </row>
    <row r="207" spans="1:44">
      <c r="A207" s="1">
        <v>45427</v>
      </c>
      <c r="B207" s="2">
        <v>0.24259259259259258</v>
      </c>
      <c r="C207" t="s">
        <v>44</v>
      </c>
      <c r="D207" t="s">
        <v>45</v>
      </c>
      <c r="E207">
        <v>0.65600000000000003</v>
      </c>
      <c r="F207" t="s">
        <v>46</v>
      </c>
      <c r="G207" t="s">
        <v>47</v>
      </c>
      <c r="H207" t="s">
        <v>45</v>
      </c>
      <c r="I207">
        <v>0.30940000000000001</v>
      </c>
      <c r="J207" t="s">
        <v>46</v>
      </c>
      <c r="K207" t="s">
        <v>48</v>
      </c>
      <c r="L207" t="s">
        <v>49</v>
      </c>
      <c r="M207" t="s">
        <v>50</v>
      </c>
      <c r="N207" t="s">
        <v>51</v>
      </c>
      <c r="O207">
        <v>3.45</v>
      </c>
      <c r="P207">
        <v>8.26</v>
      </c>
      <c r="Q207" t="s">
        <v>46</v>
      </c>
      <c r="R207" t="s">
        <v>52</v>
      </c>
      <c r="S207" t="s">
        <v>53</v>
      </c>
      <c r="T207" t="s">
        <v>46</v>
      </c>
      <c r="U207" t="s">
        <v>54</v>
      </c>
      <c r="V207" t="s">
        <v>55</v>
      </c>
      <c r="W207" t="s">
        <v>99</v>
      </c>
      <c r="X207" t="s">
        <v>174</v>
      </c>
      <c r="Y207">
        <v>1.4</v>
      </c>
      <c r="Z207" t="s">
        <v>46</v>
      </c>
      <c r="AA207" t="s">
        <v>58</v>
      </c>
      <c r="AB207" t="s">
        <v>59</v>
      </c>
      <c r="AC207">
        <v>283</v>
      </c>
      <c r="AD207" t="s">
        <v>46</v>
      </c>
      <c r="AE207" t="s">
        <v>60</v>
      </c>
      <c r="AF207" t="s">
        <v>45</v>
      </c>
      <c r="AG207" t="s">
        <v>46</v>
      </c>
      <c r="AH207" t="s">
        <v>61</v>
      </c>
      <c r="AI207" t="s">
        <v>48</v>
      </c>
      <c r="AJ207" t="s">
        <v>62</v>
      </c>
      <c r="AK207" t="s">
        <v>63</v>
      </c>
      <c r="AL207" t="s">
        <v>376</v>
      </c>
      <c r="AM207" t="s">
        <v>46</v>
      </c>
      <c r="AN207" t="s">
        <v>60</v>
      </c>
      <c r="AO207" t="s">
        <v>62</v>
      </c>
      <c r="AP207" t="s">
        <v>521</v>
      </c>
      <c r="AQ207" t="s">
        <v>66</v>
      </c>
      <c r="AR207" t="s">
        <v>67</v>
      </c>
    </row>
    <row r="208" spans="1:44">
      <c r="A208" s="1">
        <v>45427</v>
      </c>
      <c r="B208" s="2">
        <v>0.24263888888888888</v>
      </c>
      <c r="C208" t="s">
        <v>44</v>
      </c>
      <c r="D208" t="s">
        <v>45</v>
      </c>
      <c r="E208">
        <v>0.51500000000000001</v>
      </c>
      <c r="F208" t="s">
        <v>46</v>
      </c>
      <c r="G208" t="s">
        <v>47</v>
      </c>
      <c r="H208" t="s">
        <v>45</v>
      </c>
      <c r="I208">
        <v>0.30940000000000001</v>
      </c>
      <c r="J208" t="s">
        <v>46</v>
      </c>
      <c r="K208" t="s">
        <v>48</v>
      </c>
      <c r="L208" t="s">
        <v>49</v>
      </c>
      <c r="M208" t="s">
        <v>50</v>
      </c>
      <c r="N208" t="s">
        <v>51</v>
      </c>
      <c r="O208">
        <v>3.45</v>
      </c>
      <c r="P208">
        <v>8.26</v>
      </c>
      <c r="Q208" t="s">
        <v>46</v>
      </c>
      <c r="R208" t="s">
        <v>52</v>
      </c>
      <c r="S208" t="s">
        <v>53</v>
      </c>
      <c r="T208" t="s">
        <v>46</v>
      </c>
      <c r="U208" t="s">
        <v>54</v>
      </c>
      <c r="V208" t="s">
        <v>55</v>
      </c>
      <c r="W208" t="s">
        <v>522</v>
      </c>
      <c r="X208" t="s">
        <v>165</v>
      </c>
      <c r="Y208">
        <v>1.4</v>
      </c>
      <c r="Z208" t="s">
        <v>46</v>
      </c>
      <c r="AA208" t="s">
        <v>58</v>
      </c>
      <c r="AB208" t="s">
        <v>59</v>
      </c>
      <c r="AC208">
        <v>283</v>
      </c>
      <c r="AD208" t="s">
        <v>46</v>
      </c>
      <c r="AE208" t="s">
        <v>60</v>
      </c>
      <c r="AF208" t="s">
        <v>45</v>
      </c>
      <c r="AG208" t="s">
        <v>46</v>
      </c>
      <c r="AH208" t="s">
        <v>61</v>
      </c>
      <c r="AI208" t="s">
        <v>48</v>
      </c>
      <c r="AJ208" t="s">
        <v>62</v>
      </c>
      <c r="AK208" t="s">
        <v>63</v>
      </c>
      <c r="AL208" t="s">
        <v>376</v>
      </c>
      <c r="AM208" t="s">
        <v>46</v>
      </c>
      <c r="AN208" t="s">
        <v>60</v>
      </c>
      <c r="AO208" t="s">
        <v>62</v>
      </c>
      <c r="AP208" t="s">
        <v>523</v>
      </c>
      <c r="AQ208" t="s">
        <v>66</v>
      </c>
      <c r="AR208" t="s">
        <v>67</v>
      </c>
    </row>
    <row r="209" spans="1:44">
      <c r="A209" s="1">
        <v>45427</v>
      </c>
      <c r="B209" s="2">
        <v>0.2426851851851852</v>
      </c>
      <c r="C209" t="s">
        <v>44</v>
      </c>
      <c r="D209" t="s">
        <v>45</v>
      </c>
      <c r="E209">
        <v>0.74299999999999999</v>
      </c>
      <c r="F209" t="s">
        <v>46</v>
      </c>
      <c r="G209" t="s">
        <v>47</v>
      </c>
      <c r="H209" t="s">
        <v>45</v>
      </c>
      <c r="I209">
        <v>0.3085</v>
      </c>
      <c r="J209" t="s">
        <v>46</v>
      </c>
      <c r="K209" t="s">
        <v>48</v>
      </c>
      <c r="L209" t="s">
        <v>49</v>
      </c>
      <c r="M209" t="s">
        <v>50</v>
      </c>
      <c r="N209" t="s">
        <v>51</v>
      </c>
      <c r="O209">
        <v>3.45</v>
      </c>
      <c r="P209">
        <v>8.26</v>
      </c>
      <c r="Q209" t="s">
        <v>46</v>
      </c>
      <c r="R209" t="s">
        <v>52</v>
      </c>
      <c r="S209" t="s">
        <v>53</v>
      </c>
      <c r="T209" t="s">
        <v>46</v>
      </c>
      <c r="U209" t="s">
        <v>54</v>
      </c>
      <c r="V209" t="s">
        <v>55</v>
      </c>
      <c r="W209" t="s">
        <v>133</v>
      </c>
      <c r="X209" t="s">
        <v>174</v>
      </c>
      <c r="Y209">
        <v>1.4</v>
      </c>
      <c r="Z209" t="s">
        <v>46</v>
      </c>
      <c r="AA209" t="s">
        <v>58</v>
      </c>
      <c r="AB209" t="s">
        <v>59</v>
      </c>
      <c r="AC209">
        <v>283</v>
      </c>
      <c r="AD209" t="s">
        <v>46</v>
      </c>
      <c r="AE209" t="s">
        <v>60</v>
      </c>
      <c r="AF209" t="s">
        <v>45</v>
      </c>
      <c r="AG209" t="s">
        <v>46</v>
      </c>
      <c r="AH209" t="s">
        <v>61</v>
      </c>
      <c r="AI209" t="s">
        <v>48</v>
      </c>
      <c r="AJ209" t="s">
        <v>62</v>
      </c>
      <c r="AK209" t="s">
        <v>63</v>
      </c>
      <c r="AL209" t="s">
        <v>376</v>
      </c>
      <c r="AM209" t="s">
        <v>46</v>
      </c>
      <c r="AN209" t="s">
        <v>60</v>
      </c>
      <c r="AO209" t="s">
        <v>62</v>
      </c>
      <c r="AP209" t="s">
        <v>524</v>
      </c>
      <c r="AQ209" t="s">
        <v>66</v>
      </c>
      <c r="AR209" t="s">
        <v>67</v>
      </c>
    </row>
    <row r="210" spans="1:44">
      <c r="A210" s="1">
        <v>45427</v>
      </c>
      <c r="B210" s="2">
        <v>0.24273148148148149</v>
      </c>
      <c r="C210" t="s">
        <v>44</v>
      </c>
      <c r="D210" t="s">
        <v>45</v>
      </c>
      <c r="E210">
        <v>0.78100000000000003</v>
      </c>
      <c r="F210" t="s">
        <v>46</v>
      </c>
      <c r="G210" t="s">
        <v>47</v>
      </c>
      <c r="H210" t="s">
        <v>45</v>
      </c>
      <c r="I210">
        <v>0.3095</v>
      </c>
      <c r="J210" t="s">
        <v>46</v>
      </c>
      <c r="K210" t="s">
        <v>48</v>
      </c>
      <c r="L210" t="s">
        <v>49</v>
      </c>
      <c r="M210" t="s">
        <v>50</v>
      </c>
      <c r="N210" t="s">
        <v>51</v>
      </c>
      <c r="O210">
        <v>3.45</v>
      </c>
      <c r="P210">
        <v>8.26</v>
      </c>
      <c r="Q210" t="s">
        <v>46</v>
      </c>
      <c r="R210" t="s">
        <v>52</v>
      </c>
      <c r="S210" t="s">
        <v>53</v>
      </c>
      <c r="T210" t="s">
        <v>46</v>
      </c>
      <c r="U210" t="s">
        <v>54</v>
      </c>
      <c r="V210" t="s">
        <v>55</v>
      </c>
      <c r="W210" t="s">
        <v>133</v>
      </c>
      <c r="X210" t="s">
        <v>77</v>
      </c>
      <c r="Y210">
        <v>1.4</v>
      </c>
      <c r="Z210" t="s">
        <v>46</v>
      </c>
      <c r="AA210" t="s">
        <v>58</v>
      </c>
      <c r="AB210" t="s">
        <v>59</v>
      </c>
      <c r="AC210">
        <v>283</v>
      </c>
      <c r="AD210" t="s">
        <v>46</v>
      </c>
      <c r="AE210" t="s">
        <v>60</v>
      </c>
      <c r="AF210" t="s">
        <v>45</v>
      </c>
      <c r="AG210" t="s">
        <v>46</v>
      </c>
      <c r="AH210" t="s">
        <v>61</v>
      </c>
      <c r="AI210" t="s">
        <v>48</v>
      </c>
      <c r="AJ210" t="s">
        <v>62</v>
      </c>
      <c r="AK210" t="s">
        <v>63</v>
      </c>
      <c r="AL210" t="s">
        <v>376</v>
      </c>
      <c r="AM210" t="s">
        <v>46</v>
      </c>
      <c r="AN210" t="s">
        <v>60</v>
      </c>
      <c r="AO210" t="s">
        <v>62</v>
      </c>
      <c r="AP210" t="s">
        <v>525</v>
      </c>
      <c r="AQ210" t="s">
        <v>66</v>
      </c>
      <c r="AR210" t="s">
        <v>67</v>
      </c>
    </row>
    <row r="211" spans="1:44">
      <c r="A211" s="1">
        <v>45427</v>
      </c>
      <c r="B211" s="2">
        <v>0.24277777777777779</v>
      </c>
      <c r="C211" t="s">
        <v>44</v>
      </c>
      <c r="D211" t="s">
        <v>45</v>
      </c>
      <c r="E211">
        <v>1</v>
      </c>
      <c r="F211" t="s">
        <v>46</v>
      </c>
      <c r="G211" t="s">
        <v>47</v>
      </c>
      <c r="H211" t="s">
        <v>45</v>
      </c>
      <c r="I211">
        <v>0.30980000000000002</v>
      </c>
      <c r="J211" t="s">
        <v>46</v>
      </c>
      <c r="K211" t="s">
        <v>48</v>
      </c>
      <c r="L211" t="s">
        <v>49</v>
      </c>
      <c r="M211" t="s">
        <v>50</v>
      </c>
      <c r="N211" t="s">
        <v>51</v>
      </c>
      <c r="O211">
        <v>3.45</v>
      </c>
      <c r="P211">
        <v>8.26</v>
      </c>
      <c r="Q211" t="s">
        <v>46</v>
      </c>
      <c r="R211" t="s">
        <v>52</v>
      </c>
      <c r="S211" t="s">
        <v>53</v>
      </c>
      <c r="T211" t="s">
        <v>46</v>
      </c>
      <c r="U211" t="s">
        <v>54</v>
      </c>
      <c r="V211" t="s">
        <v>55</v>
      </c>
      <c r="W211" t="s">
        <v>133</v>
      </c>
      <c r="X211" t="s">
        <v>77</v>
      </c>
      <c r="Y211">
        <v>1.4</v>
      </c>
      <c r="Z211" t="s">
        <v>46</v>
      </c>
      <c r="AA211" t="s">
        <v>58</v>
      </c>
      <c r="AB211" t="s">
        <v>59</v>
      </c>
      <c r="AC211">
        <v>284</v>
      </c>
      <c r="AD211" t="s">
        <v>46</v>
      </c>
      <c r="AE211" t="s">
        <v>60</v>
      </c>
      <c r="AF211" t="s">
        <v>45</v>
      </c>
      <c r="AG211" t="s">
        <v>46</v>
      </c>
      <c r="AH211" t="s">
        <v>61</v>
      </c>
      <c r="AI211" t="s">
        <v>48</v>
      </c>
      <c r="AJ211" t="s">
        <v>62</v>
      </c>
      <c r="AK211" t="s">
        <v>63</v>
      </c>
      <c r="AL211" t="s">
        <v>376</v>
      </c>
      <c r="AM211" t="s">
        <v>46</v>
      </c>
      <c r="AN211" t="s">
        <v>60</v>
      </c>
      <c r="AO211" t="s">
        <v>62</v>
      </c>
      <c r="AP211" t="s">
        <v>526</v>
      </c>
      <c r="AQ211" t="s">
        <v>66</v>
      </c>
      <c r="AR211" t="s">
        <v>67</v>
      </c>
    </row>
    <row r="212" spans="1:44">
      <c r="A212" s="1">
        <v>45427</v>
      </c>
      <c r="B212" s="2">
        <v>0.24283564814814815</v>
      </c>
      <c r="C212" t="s">
        <v>44</v>
      </c>
      <c r="D212" t="s">
        <v>45</v>
      </c>
      <c r="E212">
        <v>0.51500000000000001</v>
      </c>
      <c r="F212" t="s">
        <v>46</v>
      </c>
      <c r="G212" t="s">
        <v>47</v>
      </c>
      <c r="H212" t="s">
        <v>45</v>
      </c>
      <c r="I212">
        <v>0.3095</v>
      </c>
      <c r="J212" t="s">
        <v>46</v>
      </c>
      <c r="K212" t="s">
        <v>48</v>
      </c>
      <c r="L212" t="s">
        <v>49</v>
      </c>
      <c r="M212" t="s">
        <v>50</v>
      </c>
      <c r="N212" t="s">
        <v>51</v>
      </c>
      <c r="O212">
        <v>3.45</v>
      </c>
      <c r="P212">
        <v>8.26</v>
      </c>
      <c r="Q212" t="s">
        <v>46</v>
      </c>
      <c r="R212" t="s">
        <v>52</v>
      </c>
      <c r="S212" t="s">
        <v>53</v>
      </c>
      <c r="T212" t="s">
        <v>46</v>
      </c>
      <c r="U212" t="s">
        <v>54</v>
      </c>
      <c r="V212" t="s">
        <v>55</v>
      </c>
      <c r="W212" t="s">
        <v>133</v>
      </c>
      <c r="X212" t="s">
        <v>162</v>
      </c>
      <c r="Y212">
        <v>1.41</v>
      </c>
      <c r="Z212" t="s">
        <v>46</v>
      </c>
      <c r="AA212" t="s">
        <v>58</v>
      </c>
      <c r="AB212" t="s">
        <v>59</v>
      </c>
      <c r="AC212">
        <v>283</v>
      </c>
      <c r="AD212" t="s">
        <v>46</v>
      </c>
      <c r="AE212" t="s">
        <v>60</v>
      </c>
      <c r="AF212" t="s">
        <v>45</v>
      </c>
      <c r="AG212" t="s">
        <v>46</v>
      </c>
      <c r="AH212" t="s">
        <v>61</v>
      </c>
      <c r="AI212" t="s">
        <v>48</v>
      </c>
      <c r="AJ212" t="s">
        <v>62</v>
      </c>
      <c r="AK212" t="s">
        <v>63</v>
      </c>
      <c r="AL212" t="s">
        <v>376</v>
      </c>
      <c r="AM212" t="s">
        <v>46</v>
      </c>
      <c r="AN212" t="s">
        <v>60</v>
      </c>
      <c r="AO212" t="s">
        <v>62</v>
      </c>
      <c r="AP212" t="s">
        <v>527</v>
      </c>
      <c r="AQ212" t="s">
        <v>66</v>
      </c>
      <c r="AR212" t="s">
        <v>67</v>
      </c>
    </row>
    <row r="213" spans="1:44">
      <c r="A213" s="1">
        <v>45427</v>
      </c>
      <c r="B213" s="2">
        <v>0.24288194444444444</v>
      </c>
      <c r="C213" t="s">
        <v>44</v>
      </c>
      <c r="D213" t="s">
        <v>45</v>
      </c>
      <c r="E213">
        <v>0.74199999999999999</v>
      </c>
      <c r="F213" t="s">
        <v>46</v>
      </c>
      <c r="G213" t="s">
        <v>47</v>
      </c>
      <c r="H213" t="s">
        <v>45</v>
      </c>
      <c r="I213">
        <v>0.30969999999999998</v>
      </c>
      <c r="J213" t="s">
        <v>46</v>
      </c>
      <c r="K213" t="s">
        <v>48</v>
      </c>
      <c r="L213" t="s">
        <v>49</v>
      </c>
      <c r="M213" t="s">
        <v>50</v>
      </c>
      <c r="N213" t="s">
        <v>51</v>
      </c>
      <c r="O213">
        <v>3.45</v>
      </c>
      <c r="P213">
        <v>8.26</v>
      </c>
      <c r="Q213" t="s">
        <v>46</v>
      </c>
      <c r="R213" t="s">
        <v>52</v>
      </c>
      <c r="S213" t="s">
        <v>53</v>
      </c>
      <c r="T213" t="s">
        <v>46</v>
      </c>
      <c r="U213" t="s">
        <v>54</v>
      </c>
      <c r="V213" t="s">
        <v>55</v>
      </c>
      <c r="W213" t="s">
        <v>528</v>
      </c>
      <c r="X213" t="s">
        <v>462</v>
      </c>
      <c r="Y213">
        <v>1.42</v>
      </c>
      <c r="Z213" t="s">
        <v>46</v>
      </c>
      <c r="AA213" t="s">
        <v>58</v>
      </c>
      <c r="AB213" t="s">
        <v>59</v>
      </c>
      <c r="AC213">
        <v>283</v>
      </c>
      <c r="AD213" t="s">
        <v>46</v>
      </c>
      <c r="AE213" t="s">
        <v>60</v>
      </c>
      <c r="AF213" t="s">
        <v>45</v>
      </c>
      <c r="AG213" t="s">
        <v>46</v>
      </c>
      <c r="AH213" t="s">
        <v>61</v>
      </c>
      <c r="AI213" t="s">
        <v>48</v>
      </c>
      <c r="AJ213" t="s">
        <v>62</v>
      </c>
      <c r="AK213" t="s">
        <v>63</v>
      </c>
      <c r="AL213" t="s">
        <v>376</v>
      </c>
      <c r="AM213" t="s">
        <v>46</v>
      </c>
      <c r="AN213" t="s">
        <v>60</v>
      </c>
      <c r="AO213" t="s">
        <v>62</v>
      </c>
      <c r="AP213" t="s">
        <v>529</v>
      </c>
      <c r="AQ213" t="s">
        <v>66</v>
      </c>
      <c r="AR213" t="s">
        <v>67</v>
      </c>
    </row>
    <row r="214" spans="1:44">
      <c r="A214" s="1">
        <v>45427</v>
      </c>
      <c r="B214" s="2">
        <v>0.24292824074074074</v>
      </c>
      <c r="C214" t="s">
        <v>44</v>
      </c>
      <c r="D214" t="s">
        <v>45</v>
      </c>
      <c r="E214">
        <v>0.54500000000000004</v>
      </c>
      <c r="F214" t="s">
        <v>46</v>
      </c>
      <c r="G214" t="s">
        <v>47</v>
      </c>
      <c r="H214" t="s">
        <v>45</v>
      </c>
      <c r="I214">
        <v>0.30990000000000001</v>
      </c>
      <c r="J214" t="s">
        <v>46</v>
      </c>
      <c r="K214" t="s">
        <v>48</v>
      </c>
      <c r="L214" t="s">
        <v>49</v>
      </c>
      <c r="M214" t="s">
        <v>50</v>
      </c>
      <c r="N214" t="s">
        <v>51</v>
      </c>
      <c r="O214">
        <v>3.45</v>
      </c>
      <c r="P214">
        <v>8.26</v>
      </c>
      <c r="Q214" t="s">
        <v>46</v>
      </c>
      <c r="R214" t="s">
        <v>52</v>
      </c>
      <c r="S214" t="s">
        <v>53</v>
      </c>
      <c r="T214" t="s">
        <v>46</v>
      </c>
      <c r="U214" t="s">
        <v>54</v>
      </c>
      <c r="V214" t="s">
        <v>55</v>
      </c>
      <c r="W214" t="s">
        <v>530</v>
      </c>
      <c r="X214" t="s">
        <v>462</v>
      </c>
      <c r="Y214">
        <v>1.43</v>
      </c>
      <c r="Z214" t="s">
        <v>46</v>
      </c>
      <c r="AA214" t="s">
        <v>58</v>
      </c>
      <c r="AB214" t="s">
        <v>59</v>
      </c>
      <c r="AC214">
        <v>283</v>
      </c>
      <c r="AD214" t="s">
        <v>46</v>
      </c>
      <c r="AE214" t="s">
        <v>60</v>
      </c>
      <c r="AF214" t="s">
        <v>45</v>
      </c>
      <c r="AG214" t="s">
        <v>46</v>
      </c>
      <c r="AH214" t="s">
        <v>61</v>
      </c>
      <c r="AI214" t="s">
        <v>48</v>
      </c>
      <c r="AJ214" t="s">
        <v>62</v>
      </c>
      <c r="AK214" t="s">
        <v>63</v>
      </c>
      <c r="AL214" t="s">
        <v>376</v>
      </c>
      <c r="AM214" t="s">
        <v>46</v>
      </c>
      <c r="AN214" t="s">
        <v>60</v>
      </c>
      <c r="AO214" t="s">
        <v>62</v>
      </c>
      <c r="AP214" t="s">
        <v>531</v>
      </c>
      <c r="AQ214" t="s">
        <v>66</v>
      </c>
      <c r="AR214" t="s">
        <v>67</v>
      </c>
    </row>
    <row r="215" spans="1:44">
      <c r="A215" s="1">
        <v>45427</v>
      </c>
      <c r="B215" s="2">
        <v>0.24297453703703703</v>
      </c>
      <c r="C215" t="s">
        <v>44</v>
      </c>
      <c r="D215" t="s">
        <v>45</v>
      </c>
      <c r="E215">
        <v>0.75</v>
      </c>
      <c r="F215" t="s">
        <v>46</v>
      </c>
      <c r="G215" t="s">
        <v>47</v>
      </c>
      <c r="H215" t="s">
        <v>45</v>
      </c>
      <c r="I215">
        <v>0.30969999999999998</v>
      </c>
      <c r="J215" t="s">
        <v>46</v>
      </c>
      <c r="K215" t="s">
        <v>48</v>
      </c>
      <c r="L215" t="s">
        <v>49</v>
      </c>
      <c r="M215" t="s">
        <v>50</v>
      </c>
      <c r="N215" t="s">
        <v>51</v>
      </c>
      <c r="O215">
        <v>3.45</v>
      </c>
      <c r="P215">
        <v>8.26</v>
      </c>
      <c r="Q215" t="s">
        <v>46</v>
      </c>
      <c r="R215" t="s">
        <v>52</v>
      </c>
      <c r="S215" t="s">
        <v>53</v>
      </c>
      <c r="T215" t="s">
        <v>46</v>
      </c>
      <c r="U215" t="s">
        <v>54</v>
      </c>
      <c r="V215" t="s">
        <v>55</v>
      </c>
      <c r="W215" t="s">
        <v>107</v>
      </c>
      <c r="X215" t="s">
        <v>189</v>
      </c>
      <c r="Y215">
        <v>1.42</v>
      </c>
      <c r="Z215" t="s">
        <v>46</v>
      </c>
      <c r="AA215" t="s">
        <v>58</v>
      </c>
      <c r="AB215" t="s">
        <v>59</v>
      </c>
      <c r="AC215">
        <v>284</v>
      </c>
      <c r="AD215" t="s">
        <v>46</v>
      </c>
      <c r="AE215" t="s">
        <v>60</v>
      </c>
      <c r="AF215" t="s">
        <v>45</v>
      </c>
      <c r="AG215" t="s">
        <v>46</v>
      </c>
      <c r="AH215" t="s">
        <v>61</v>
      </c>
      <c r="AI215" t="s">
        <v>48</v>
      </c>
      <c r="AJ215" t="s">
        <v>62</v>
      </c>
      <c r="AK215" t="s">
        <v>63</v>
      </c>
      <c r="AL215" t="s">
        <v>376</v>
      </c>
      <c r="AM215" t="s">
        <v>46</v>
      </c>
      <c r="AN215" t="s">
        <v>60</v>
      </c>
      <c r="AO215" t="s">
        <v>62</v>
      </c>
      <c r="AP215" t="s">
        <v>532</v>
      </c>
      <c r="AQ215" t="s">
        <v>66</v>
      </c>
      <c r="AR215" t="s">
        <v>67</v>
      </c>
    </row>
    <row r="216" spans="1:44">
      <c r="A216" s="1">
        <v>45427</v>
      </c>
      <c r="B216" s="2">
        <v>0.24303240740740742</v>
      </c>
      <c r="C216" t="s">
        <v>44</v>
      </c>
      <c r="D216" t="s">
        <v>45</v>
      </c>
      <c r="E216">
        <v>1</v>
      </c>
      <c r="F216" t="s">
        <v>46</v>
      </c>
      <c r="G216" t="s">
        <v>47</v>
      </c>
      <c r="H216" t="s">
        <v>45</v>
      </c>
      <c r="I216">
        <v>0.30969999999999998</v>
      </c>
      <c r="J216" t="s">
        <v>46</v>
      </c>
      <c r="K216" t="s">
        <v>48</v>
      </c>
      <c r="L216" t="s">
        <v>49</v>
      </c>
      <c r="M216" t="s">
        <v>50</v>
      </c>
      <c r="N216" t="s">
        <v>51</v>
      </c>
      <c r="O216">
        <v>3.45</v>
      </c>
      <c r="P216">
        <v>8.26</v>
      </c>
      <c r="Q216" t="s">
        <v>46</v>
      </c>
      <c r="R216" t="s">
        <v>52</v>
      </c>
      <c r="S216" t="s">
        <v>53</v>
      </c>
      <c r="T216" t="s">
        <v>46</v>
      </c>
      <c r="U216" t="s">
        <v>54</v>
      </c>
      <c r="V216" t="s">
        <v>55</v>
      </c>
      <c r="W216" t="s">
        <v>130</v>
      </c>
      <c r="X216" t="s">
        <v>139</v>
      </c>
      <c r="Y216">
        <v>1.41</v>
      </c>
      <c r="Z216" t="s">
        <v>46</v>
      </c>
      <c r="AA216" t="s">
        <v>58</v>
      </c>
      <c r="AB216" t="s">
        <v>59</v>
      </c>
      <c r="AC216">
        <v>284</v>
      </c>
      <c r="AD216" t="s">
        <v>46</v>
      </c>
      <c r="AE216" t="s">
        <v>60</v>
      </c>
      <c r="AF216" t="s">
        <v>45</v>
      </c>
      <c r="AG216" t="s">
        <v>46</v>
      </c>
      <c r="AH216" t="s">
        <v>61</v>
      </c>
      <c r="AI216" t="s">
        <v>48</v>
      </c>
      <c r="AJ216" t="s">
        <v>62</v>
      </c>
      <c r="AK216" t="s">
        <v>63</v>
      </c>
      <c r="AL216" t="s">
        <v>376</v>
      </c>
      <c r="AM216" t="s">
        <v>46</v>
      </c>
      <c r="AN216" t="s">
        <v>60</v>
      </c>
      <c r="AO216" t="s">
        <v>62</v>
      </c>
      <c r="AP216" t="s">
        <v>533</v>
      </c>
      <c r="AQ216" t="s">
        <v>66</v>
      </c>
      <c r="AR216" t="s">
        <v>67</v>
      </c>
    </row>
    <row r="217" spans="1:44">
      <c r="A217" s="1">
        <v>45427</v>
      </c>
      <c r="B217" s="2">
        <v>0.24307870370370371</v>
      </c>
      <c r="C217" t="s">
        <v>44</v>
      </c>
      <c r="D217" t="s">
        <v>45</v>
      </c>
      <c r="E217">
        <v>0.5</v>
      </c>
      <c r="F217" t="s">
        <v>46</v>
      </c>
      <c r="G217" t="s">
        <v>47</v>
      </c>
      <c r="H217" t="s">
        <v>45</v>
      </c>
      <c r="I217">
        <v>0.30980000000000002</v>
      </c>
      <c r="J217" t="s">
        <v>46</v>
      </c>
      <c r="K217" t="s">
        <v>48</v>
      </c>
      <c r="L217" t="s">
        <v>49</v>
      </c>
      <c r="M217" t="s">
        <v>50</v>
      </c>
      <c r="N217" t="s">
        <v>51</v>
      </c>
      <c r="O217">
        <v>3.45</v>
      </c>
      <c r="P217">
        <v>8.26</v>
      </c>
      <c r="Q217" t="s">
        <v>46</v>
      </c>
      <c r="R217" t="s">
        <v>52</v>
      </c>
      <c r="S217" t="s">
        <v>53</v>
      </c>
      <c r="T217" t="s">
        <v>46</v>
      </c>
      <c r="U217" t="s">
        <v>54</v>
      </c>
      <c r="V217" t="s">
        <v>55</v>
      </c>
      <c r="W217" t="s">
        <v>130</v>
      </c>
      <c r="X217" t="s">
        <v>139</v>
      </c>
      <c r="Y217">
        <v>1.41</v>
      </c>
      <c r="Z217" t="s">
        <v>46</v>
      </c>
      <c r="AA217" t="s">
        <v>58</v>
      </c>
      <c r="AB217" t="s">
        <v>59</v>
      </c>
      <c r="AC217">
        <v>283</v>
      </c>
      <c r="AD217" t="s">
        <v>46</v>
      </c>
      <c r="AE217" t="s">
        <v>60</v>
      </c>
      <c r="AF217" t="s">
        <v>45</v>
      </c>
      <c r="AG217" t="s">
        <v>46</v>
      </c>
      <c r="AH217" t="s">
        <v>61</v>
      </c>
      <c r="AI217" t="s">
        <v>48</v>
      </c>
      <c r="AJ217" t="s">
        <v>62</v>
      </c>
      <c r="AK217" t="s">
        <v>63</v>
      </c>
      <c r="AL217" t="s">
        <v>376</v>
      </c>
      <c r="AM217" t="s">
        <v>46</v>
      </c>
      <c r="AN217" t="s">
        <v>60</v>
      </c>
      <c r="AO217" t="s">
        <v>62</v>
      </c>
      <c r="AP217" t="s">
        <v>534</v>
      </c>
      <c r="AQ217" t="s">
        <v>66</v>
      </c>
      <c r="AR217" t="s">
        <v>67</v>
      </c>
    </row>
    <row r="218" spans="1:44">
      <c r="A218" s="1">
        <v>45427</v>
      </c>
      <c r="B218" s="2">
        <v>0.24312500000000001</v>
      </c>
      <c r="C218" t="s">
        <v>44</v>
      </c>
      <c r="D218" t="s">
        <v>45</v>
      </c>
      <c r="E218">
        <v>0.54500000000000004</v>
      </c>
      <c r="F218" t="s">
        <v>46</v>
      </c>
      <c r="G218" t="s">
        <v>47</v>
      </c>
      <c r="H218" t="s">
        <v>45</v>
      </c>
      <c r="I218">
        <v>0.30980000000000002</v>
      </c>
      <c r="J218" t="s">
        <v>46</v>
      </c>
      <c r="K218" t="s">
        <v>48</v>
      </c>
      <c r="L218" t="s">
        <v>49</v>
      </c>
      <c r="M218" t="s">
        <v>50</v>
      </c>
      <c r="N218" t="s">
        <v>51</v>
      </c>
      <c r="O218">
        <v>3.45</v>
      </c>
      <c r="P218">
        <v>8.26</v>
      </c>
      <c r="Q218" t="s">
        <v>46</v>
      </c>
      <c r="R218" t="s">
        <v>52</v>
      </c>
      <c r="S218" t="s">
        <v>53</v>
      </c>
      <c r="T218" t="s">
        <v>46</v>
      </c>
      <c r="U218" t="s">
        <v>54</v>
      </c>
      <c r="V218" t="s">
        <v>55</v>
      </c>
      <c r="W218" t="s">
        <v>483</v>
      </c>
      <c r="X218" t="s">
        <v>174</v>
      </c>
      <c r="Y218">
        <v>1.41</v>
      </c>
      <c r="Z218" t="s">
        <v>46</v>
      </c>
      <c r="AA218" t="s">
        <v>58</v>
      </c>
      <c r="AB218" t="s">
        <v>59</v>
      </c>
      <c r="AC218">
        <v>283</v>
      </c>
      <c r="AD218" t="s">
        <v>46</v>
      </c>
      <c r="AE218" t="s">
        <v>60</v>
      </c>
      <c r="AF218" t="s">
        <v>45</v>
      </c>
      <c r="AG218" t="s">
        <v>46</v>
      </c>
      <c r="AH218" t="s">
        <v>61</v>
      </c>
      <c r="AI218" t="s">
        <v>48</v>
      </c>
      <c r="AJ218" t="s">
        <v>62</v>
      </c>
      <c r="AK218" t="s">
        <v>63</v>
      </c>
      <c r="AL218" t="s">
        <v>376</v>
      </c>
      <c r="AM218" t="s">
        <v>46</v>
      </c>
      <c r="AN218" t="s">
        <v>60</v>
      </c>
      <c r="AO218" t="s">
        <v>62</v>
      </c>
      <c r="AP218" t="s">
        <v>535</v>
      </c>
      <c r="AQ218" t="s">
        <v>66</v>
      </c>
      <c r="AR218" t="s">
        <v>67</v>
      </c>
    </row>
    <row r="219" spans="1:44">
      <c r="A219" s="1">
        <v>45427</v>
      </c>
      <c r="B219" s="2">
        <v>0.24318287037037037</v>
      </c>
      <c r="C219" t="s">
        <v>44</v>
      </c>
      <c r="D219" t="s">
        <v>45</v>
      </c>
      <c r="E219">
        <v>0.72699999999999998</v>
      </c>
      <c r="F219" t="s">
        <v>46</v>
      </c>
      <c r="G219" t="s">
        <v>47</v>
      </c>
      <c r="H219" t="s">
        <v>45</v>
      </c>
      <c r="I219">
        <v>0.30959999999999999</v>
      </c>
      <c r="J219" t="s">
        <v>46</v>
      </c>
      <c r="K219" t="s">
        <v>48</v>
      </c>
      <c r="L219" t="s">
        <v>49</v>
      </c>
      <c r="M219" t="s">
        <v>50</v>
      </c>
      <c r="N219" t="s">
        <v>51</v>
      </c>
      <c r="O219">
        <v>3.45</v>
      </c>
      <c r="P219">
        <v>8.26</v>
      </c>
      <c r="Q219" t="s">
        <v>46</v>
      </c>
      <c r="R219" t="s">
        <v>52</v>
      </c>
      <c r="S219" t="s">
        <v>53</v>
      </c>
      <c r="T219" t="s">
        <v>46</v>
      </c>
      <c r="U219" t="s">
        <v>54</v>
      </c>
      <c r="V219" t="s">
        <v>55</v>
      </c>
      <c r="W219" t="s">
        <v>473</v>
      </c>
      <c r="X219" t="s">
        <v>165</v>
      </c>
      <c r="Y219">
        <v>1.4</v>
      </c>
      <c r="Z219" t="s">
        <v>46</v>
      </c>
      <c r="AA219" t="s">
        <v>58</v>
      </c>
      <c r="AB219" t="s">
        <v>59</v>
      </c>
      <c r="AC219">
        <v>283</v>
      </c>
      <c r="AD219" t="s">
        <v>46</v>
      </c>
      <c r="AE219" t="s">
        <v>60</v>
      </c>
      <c r="AF219" t="s">
        <v>45</v>
      </c>
      <c r="AG219" t="s">
        <v>46</v>
      </c>
      <c r="AH219" t="s">
        <v>61</v>
      </c>
      <c r="AI219" t="s">
        <v>48</v>
      </c>
      <c r="AJ219" t="s">
        <v>62</v>
      </c>
      <c r="AK219" t="s">
        <v>63</v>
      </c>
      <c r="AL219" t="s">
        <v>376</v>
      </c>
      <c r="AM219" t="s">
        <v>46</v>
      </c>
      <c r="AN219" t="s">
        <v>60</v>
      </c>
      <c r="AO219" t="s">
        <v>62</v>
      </c>
      <c r="AP219" t="s">
        <v>536</v>
      </c>
      <c r="AQ219" t="s">
        <v>66</v>
      </c>
      <c r="AR219" t="s">
        <v>67</v>
      </c>
    </row>
    <row r="220" spans="1:44">
      <c r="A220" s="1">
        <v>45427</v>
      </c>
      <c r="B220" s="2">
        <v>0.24322916666666666</v>
      </c>
      <c r="C220" t="s">
        <v>44</v>
      </c>
      <c r="D220" t="s">
        <v>45</v>
      </c>
      <c r="E220">
        <v>0.54500000000000004</v>
      </c>
      <c r="F220" t="s">
        <v>46</v>
      </c>
      <c r="G220" t="s">
        <v>47</v>
      </c>
      <c r="H220" t="s">
        <v>45</v>
      </c>
      <c r="I220">
        <v>0.30959999999999999</v>
      </c>
      <c r="J220" t="s">
        <v>46</v>
      </c>
      <c r="K220" t="s">
        <v>48</v>
      </c>
      <c r="L220" t="s">
        <v>49</v>
      </c>
      <c r="M220" t="s">
        <v>50</v>
      </c>
      <c r="N220" t="s">
        <v>51</v>
      </c>
      <c r="O220">
        <v>3.45</v>
      </c>
      <c r="P220">
        <v>8.26</v>
      </c>
      <c r="Q220" t="s">
        <v>46</v>
      </c>
      <c r="R220" t="s">
        <v>52</v>
      </c>
      <c r="S220" t="s">
        <v>53</v>
      </c>
      <c r="T220" t="s">
        <v>46</v>
      </c>
      <c r="U220" t="s">
        <v>54</v>
      </c>
      <c r="V220" t="s">
        <v>55</v>
      </c>
      <c r="W220" t="s">
        <v>462</v>
      </c>
      <c r="X220" t="s">
        <v>430</v>
      </c>
      <c r="Y220">
        <v>1.4</v>
      </c>
      <c r="Z220" t="s">
        <v>46</v>
      </c>
      <c r="AA220" t="s">
        <v>58</v>
      </c>
      <c r="AB220" t="s">
        <v>59</v>
      </c>
      <c r="AC220">
        <v>283</v>
      </c>
      <c r="AD220" t="s">
        <v>46</v>
      </c>
      <c r="AE220" t="s">
        <v>60</v>
      </c>
      <c r="AF220" t="s">
        <v>45</v>
      </c>
      <c r="AG220" t="s">
        <v>46</v>
      </c>
      <c r="AH220" t="s">
        <v>61</v>
      </c>
      <c r="AI220" t="s">
        <v>48</v>
      </c>
      <c r="AJ220" t="s">
        <v>62</v>
      </c>
      <c r="AK220" t="s">
        <v>63</v>
      </c>
      <c r="AL220" t="s">
        <v>376</v>
      </c>
      <c r="AM220" t="s">
        <v>46</v>
      </c>
      <c r="AN220" t="s">
        <v>60</v>
      </c>
      <c r="AO220" t="s">
        <v>62</v>
      </c>
      <c r="AP220" t="s">
        <v>537</v>
      </c>
      <c r="AQ220" t="s">
        <v>66</v>
      </c>
      <c r="AR220" t="s">
        <v>67</v>
      </c>
    </row>
    <row r="221" spans="1:44">
      <c r="A221" s="1">
        <v>45427</v>
      </c>
      <c r="B221" s="2">
        <v>0.24327546296296296</v>
      </c>
      <c r="C221" t="s">
        <v>44</v>
      </c>
      <c r="D221" t="s">
        <v>45</v>
      </c>
      <c r="E221">
        <v>0.52900000000000003</v>
      </c>
      <c r="F221" t="s">
        <v>46</v>
      </c>
      <c r="G221" t="s">
        <v>47</v>
      </c>
      <c r="H221" t="s">
        <v>45</v>
      </c>
      <c r="I221">
        <v>0.30959999999999999</v>
      </c>
      <c r="J221" t="s">
        <v>46</v>
      </c>
      <c r="K221" t="s">
        <v>48</v>
      </c>
      <c r="L221" t="s">
        <v>49</v>
      </c>
      <c r="M221" t="s">
        <v>50</v>
      </c>
      <c r="N221" t="s">
        <v>51</v>
      </c>
      <c r="O221">
        <v>3.45</v>
      </c>
      <c r="P221">
        <v>8.26</v>
      </c>
      <c r="Q221" t="s">
        <v>46</v>
      </c>
      <c r="R221" t="s">
        <v>52</v>
      </c>
      <c r="S221" t="s">
        <v>53</v>
      </c>
      <c r="T221" t="s">
        <v>46</v>
      </c>
      <c r="U221" t="s">
        <v>54</v>
      </c>
      <c r="V221" t="s">
        <v>55</v>
      </c>
      <c r="W221" t="s">
        <v>144</v>
      </c>
      <c r="X221" t="s">
        <v>165</v>
      </c>
      <c r="Y221">
        <v>1.41</v>
      </c>
      <c r="Z221" t="s">
        <v>46</v>
      </c>
      <c r="AA221" t="s">
        <v>58</v>
      </c>
      <c r="AB221" t="s">
        <v>59</v>
      </c>
      <c r="AC221">
        <v>284</v>
      </c>
      <c r="AD221" t="s">
        <v>46</v>
      </c>
      <c r="AE221" t="s">
        <v>60</v>
      </c>
      <c r="AF221" t="s">
        <v>45</v>
      </c>
      <c r="AG221" t="s">
        <v>46</v>
      </c>
      <c r="AH221" t="s">
        <v>61</v>
      </c>
      <c r="AI221" t="s">
        <v>48</v>
      </c>
      <c r="AJ221" t="s">
        <v>62</v>
      </c>
      <c r="AK221" t="s">
        <v>63</v>
      </c>
      <c r="AL221" t="s">
        <v>376</v>
      </c>
      <c r="AM221" t="s">
        <v>46</v>
      </c>
      <c r="AN221" t="s">
        <v>60</v>
      </c>
      <c r="AO221" t="s">
        <v>62</v>
      </c>
      <c r="AP221" t="s">
        <v>538</v>
      </c>
      <c r="AQ221" t="s">
        <v>66</v>
      </c>
      <c r="AR221" t="s">
        <v>67</v>
      </c>
    </row>
    <row r="222" spans="1:44">
      <c r="A222" s="1">
        <v>45427</v>
      </c>
      <c r="B222" s="2">
        <v>0.24332175925925925</v>
      </c>
      <c r="C222" t="s">
        <v>44</v>
      </c>
      <c r="D222" t="s">
        <v>45</v>
      </c>
      <c r="E222">
        <v>0.78800000000000003</v>
      </c>
      <c r="F222" t="s">
        <v>46</v>
      </c>
      <c r="G222" t="s">
        <v>47</v>
      </c>
      <c r="H222" t="s">
        <v>45</v>
      </c>
      <c r="I222">
        <v>0.30959999999999999</v>
      </c>
      <c r="J222" t="s">
        <v>46</v>
      </c>
      <c r="K222" t="s">
        <v>48</v>
      </c>
      <c r="L222" t="s">
        <v>49</v>
      </c>
      <c r="M222" t="s">
        <v>50</v>
      </c>
      <c r="N222" t="s">
        <v>51</v>
      </c>
      <c r="O222">
        <v>3.45</v>
      </c>
      <c r="P222">
        <v>8.26</v>
      </c>
      <c r="Q222" t="s">
        <v>46</v>
      </c>
      <c r="R222" t="s">
        <v>52</v>
      </c>
      <c r="S222" t="s">
        <v>53</v>
      </c>
      <c r="T222" t="s">
        <v>46</v>
      </c>
      <c r="U222" t="s">
        <v>54</v>
      </c>
      <c r="V222" t="s">
        <v>55</v>
      </c>
      <c r="W222" t="s">
        <v>193</v>
      </c>
      <c r="X222" t="s">
        <v>430</v>
      </c>
      <c r="Y222">
        <v>1.4</v>
      </c>
      <c r="Z222" t="s">
        <v>46</v>
      </c>
      <c r="AA222" t="s">
        <v>58</v>
      </c>
      <c r="AB222" t="s">
        <v>59</v>
      </c>
      <c r="AC222">
        <v>283</v>
      </c>
      <c r="AD222" t="s">
        <v>46</v>
      </c>
      <c r="AE222" t="s">
        <v>60</v>
      </c>
      <c r="AF222" t="s">
        <v>45</v>
      </c>
      <c r="AG222" t="s">
        <v>46</v>
      </c>
      <c r="AH222" t="s">
        <v>61</v>
      </c>
      <c r="AI222" t="s">
        <v>48</v>
      </c>
      <c r="AJ222" t="s">
        <v>62</v>
      </c>
      <c r="AK222" t="s">
        <v>63</v>
      </c>
      <c r="AL222" t="s">
        <v>376</v>
      </c>
      <c r="AM222" t="s">
        <v>46</v>
      </c>
      <c r="AN222" t="s">
        <v>60</v>
      </c>
      <c r="AO222" t="s">
        <v>62</v>
      </c>
      <c r="AP222" t="s">
        <v>539</v>
      </c>
      <c r="AQ222" t="s">
        <v>66</v>
      </c>
      <c r="AR222" t="s">
        <v>67</v>
      </c>
    </row>
    <row r="223" spans="1:44">
      <c r="A223" s="1">
        <v>45427</v>
      </c>
      <c r="B223" s="2">
        <v>0.24337962962962964</v>
      </c>
      <c r="C223" t="s">
        <v>44</v>
      </c>
      <c r="D223" t="s">
        <v>45</v>
      </c>
      <c r="E223">
        <v>0.52900000000000003</v>
      </c>
      <c r="F223" t="s">
        <v>46</v>
      </c>
      <c r="G223" t="s">
        <v>47</v>
      </c>
      <c r="H223" t="s">
        <v>45</v>
      </c>
      <c r="I223">
        <v>0.30959999999999999</v>
      </c>
      <c r="J223" t="s">
        <v>46</v>
      </c>
      <c r="K223" t="s">
        <v>48</v>
      </c>
      <c r="L223" t="s">
        <v>49</v>
      </c>
      <c r="M223" t="s">
        <v>50</v>
      </c>
      <c r="N223" t="s">
        <v>51</v>
      </c>
      <c r="O223">
        <v>3.45</v>
      </c>
      <c r="P223">
        <v>8.26</v>
      </c>
      <c r="Q223" t="s">
        <v>46</v>
      </c>
      <c r="R223" t="s">
        <v>52</v>
      </c>
      <c r="S223" t="s">
        <v>53</v>
      </c>
      <c r="T223" t="s">
        <v>46</v>
      </c>
      <c r="U223" t="s">
        <v>54</v>
      </c>
      <c r="V223" t="s">
        <v>55</v>
      </c>
      <c r="W223" t="s">
        <v>174</v>
      </c>
      <c r="X223" t="s">
        <v>168</v>
      </c>
      <c r="Y223">
        <v>1.4</v>
      </c>
      <c r="Z223" t="s">
        <v>46</v>
      </c>
      <c r="AA223" t="s">
        <v>58</v>
      </c>
      <c r="AB223" t="s">
        <v>59</v>
      </c>
      <c r="AC223">
        <v>283</v>
      </c>
      <c r="AD223" t="s">
        <v>46</v>
      </c>
      <c r="AE223" t="s">
        <v>60</v>
      </c>
      <c r="AF223" t="s">
        <v>45</v>
      </c>
      <c r="AG223" t="s">
        <v>46</v>
      </c>
      <c r="AH223" t="s">
        <v>61</v>
      </c>
      <c r="AI223" t="s">
        <v>48</v>
      </c>
      <c r="AJ223" t="s">
        <v>62</v>
      </c>
      <c r="AK223" t="s">
        <v>63</v>
      </c>
      <c r="AL223" t="s">
        <v>376</v>
      </c>
      <c r="AM223" t="s">
        <v>46</v>
      </c>
      <c r="AN223" t="s">
        <v>60</v>
      </c>
      <c r="AO223" t="s">
        <v>62</v>
      </c>
      <c r="AP223" t="s">
        <v>540</v>
      </c>
      <c r="AQ223" t="s">
        <v>66</v>
      </c>
      <c r="AR223" t="s">
        <v>67</v>
      </c>
    </row>
    <row r="224" spans="1:44">
      <c r="A224" s="1">
        <v>45427</v>
      </c>
      <c r="B224" s="2">
        <v>0.24342592592592593</v>
      </c>
      <c r="C224" t="s">
        <v>44</v>
      </c>
      <c r="D224" t="s">
        <v>45</v>
      </c>
      <c r="E224">
        <v>0.48399999999999999</v>
      </c>
      <c r="F224" t="s">
        <v>46</v>
      </c>
      <c r="G224" t="s">
        <v>47</v>
      </c>
      <c r="H224" t="s">
        <v>45</v>
      </c>
      <c r="I224">
        <v>0.30969999999999998</v>
      </c>
      <c r="J224" t="s">
        <v>46</v>
      </c>
      <c r="K224" t="s">
        <v>48</v>
      </c>
      <c r="L224" t="s">
        <v>49</v>
      </c>
      <c r="M224" t="s">
        <v>50</v>
      </c>
      <c r="N224" t="s">
        <v>51</v>
      </c>
      <c r="O224">
        <v>3.45</v>
      </c>
      <c r="P224">
        <v>8.26</v>
      </c>
      <c r="Q224" t="s">
        <v>46</v>
      </c>
      <c r="R224" t="s">
        <v>52</v>
      </c>
      <c r="S224" t="s">
        <v>53</v>
      </c>
      <c r="T224" t="s">
        <v>46</v>
      </c>
      <c r="U224" t="s">
        <v>54</v>
      </c>
      <c r="V224" t="s">
        <v>55</v>
      </c>
      <c r="W224" t="s">
        <v>174</v>
      </c>
      <c r="X224" t="s">
        <v>168</v>
      </c>
      <c r="Y224">
        <v>1.4</v>
      </c>
      <c r="Z224" t="s">
        <v>46</v>
      </c>
      <c r="AA224" t="s">
        <v>58</v>
      </c>
      <c r="AB224" t="s">
        <v>59</v>
      </c>
      <c r="AC224">
        <v>283</v>
      </c>
      <c r="AD224" t="s">
        <v>46</v>
      </c>
      <c r="AE224" t="s">
        <v>60</v>
      </c>
      <c r="AF224" t="s">
        <v>45</v>
      </c>
      <c r="AG224" t="s">
        <v>46</v>
      </c>
      <c r="AH224" t="s">
        <v>61</v>
      </c>
      <c r="AI224" t="s">
        <v>48</v>
      </c>
      <c r="AJ224" t="s">
        <v>62</v>
      </c>
      <c r="AK224" t="s">
        <v>63</v>
      </c>
      <c r="AL224" t="s">
        <v>376</v>
      </c>
      <c r="AM224" t="s">
        <v>46</v>
      </c>
      <c r="AN224" t="s">
        <v>60</v>
      </c>
      <c r="AO224" t="s">
        <v>62</v>
      </c>
      <c r="AP224" t="s">
        <v>541</v>
      </c>
      <c r="AQ224" t="s">
        <v>66</v>
      </c>
      <c r="AR224" t="s">
        <v>67</v>
      </c>
    </row>
    <row r="225" spans="1:44">
      <c r="A225" s="1">
        <v>45427</v>
      </c>
      <c r="B225" s="2">
        <v>0.24347222222222223</v>
      </c>
      <c r="C225" t="s">
        <v>44</v>
      </c>
      <c r="D225" t="s">
        <v>45</v>
      </c>
      <c r="E225">
        <v>0.73499999999999999</v>
      </c>
      <c r="F225" t="s">
        <v>46</v>
      </c>
      <c r="G225" t="s">
        <v>47</v>
      </c>
      <c r="H225" t="s">
        <v>45</v>
      </c>
      <c r="I225">
        <v>0.30990000000000001</v>
      </c>
      <c r="J225" t="s">
        <v>46</v>
      </c>
      <c r="K225" t="s">
        <v>48</v>
      </c>
      <c r="L225" t="s">
        <v>49</v>
      </c>
      <c r="M225" t="s">
        <v>50</v>
      </c>
      <c r="N225" t="s">
        <v>51</v>
      </c>
      <c r="O225">
        <v>3.45</v>
      </c>
      <c r="P225">
        <v>8.26</v>
      </c>
      <c r="Q225" t="s">
        <v>46</v>
      </c>
      <c r="R225" t="s">
        <v>52</v>
      </c>
      <c r="S225" t="s">
        <v>53</v>
      </c>
      <c r="T225" t="s">
        <v>46</v>
      </c>
      <c r="U225" t="s">
        <v>54</v>
      </c>
      <c r="V225" t="s">
        <v>55</v>
      </c>
      <c r="W225" t="s">
        <v>179</v>
      </c>
      <c r="X225" t="s">
        <v>146</v>
      </c>
      <c r="Y225">
        <v>1.4</v>
      </c>
      <c r="Z225" t="s">
        <v>46</v>
      </c>
      <c r="AA225" t="s">
        <v>58</v>
      </c>
      <c r="AB225" t="s">
        <v>59</v>
      </c>
      <c r="AC225">
        <v>283</v>
      </c>
      <c r="AD225" t="s">
        <v>46</v>
      </c>
      <c r="AE225" t="s">
        <v>60</v>
      </c>
      <c r="AF225" t="s">
        <v>45</v>
      </c>
      <c r="AG225" t="s">
        <v>46</v>
      </c>
      <c r="AH225" t="s">
        <v>61</v>
      </c>
      <c r="AI225" t="s">
        <v>48</v>
      </c>
      <c r="AJ225" t="s">
        <v>62</v>
      </c>
      <c r="AK225" t="s">
        <v>63</v>
      </c>
      <c r="AL225" t="s">
        <v>376</v>
      </c>
      <c r="AM225" t="s">
        <v>46</v>
      </c>
      <c r="AN225" t="s">
        <v>60</v>
      </c>
      <c r="AO225" t="s">
        <v>62</v>
      </c>
      <c r="AP225" t="s">
        <v>542</v>
      </c>
      <c r="AQ225" t="s">
        <v>66</v>
      </c>
      <c r="AR225" t="s">
        <v>67</v>
      </c>
    </row>
    <row r="226" spans="1:44">
      <c r="A226" s="1">
        <v>45427</v>
      </c>
      <c r="B226" s="2">
        <v>0.24351851851851852</v>
      </c>
      <c r="C226" t="s">
        <v>44</v>
      </c>
      <c r="D226" t="s">
        <v>45</v>
      </c>
      <c r="E226">
        <v>0.71399999999999997</v>
      </c>
      <c r="F226" t="s">
        <v>46</v>
      </c>
      <c r="G226" t="s">
        <v>47</v>
      </c>
      <c r="H226" t="s">
        <v>45</v>
      </c>
      <c r="I226">
        <v>0.30980000000000002</v>
      </c>
      <c r="J226" t="s">
        <v>46</v>
      </c>
      <c r="K226" t="s">
        <v>48</v>
      </c>
      <c r="L226" t="s">
        <v>49</v>
      </c>
      <c r="M226" t="s">
        <v>50</v>
      </c>
      <c r="N226" t="s">
        <v>51</v>
      </c>
      <c r="O226">
        <v>3.45</v>
      </c>
      <c r="P226">
        <v>8.26</v>
      </c>
      <c r="Q226" t="s">
        <v>46</v>
      </c>
      <c r="R226" t="s">
        <v>52</v>
      </c>
      <c r="S226" t="s">
        <v>53</v>
      </c>
      <c r="T226" t="s">
        <v>46</v>
      </c>
      <c r="U226" t="s">
        <v>54</v>
      </c>
      <c r="V226" t="s">
        <v>55</v>
      </c>
      <c r="W226" t="s">
        <v>165</v>
      </c>
      <c r="X226" t="s">
        <v>168</v>
      </c>
      <c r="Y226">
        <v>1.4</v>
      </c>
      <c r="Z226" t="s">
        <v>46</v>
      </c>
      <c r="AA226" t="s">
        <v>58</v>
      </c>
      <c r="AB226" t="s">
        <v>59</v>
      </c>
      <c r="AC226">
        <v>283</v>
      </c>
      <c r="AD226" t="s">
        <v>46</v>
      </c>
      <c r="AE226" t="s">
        <v>60</v>
      </c>
      <c r="AF226" t="s">
        <v>45</v>
      </c>
      <c r="AG226" t="s">
        <v>46</v>
      </c>
      <c r="AH226" t="s">
        <v>61</v>
      </c>
      <c r="AI226" t="s">
        <v>48</v>
      </c>
      <c r="AJ226" t="s">
        <v>62</v>
      </c>
      <c r="AK226" t="s">
        <v>63</v>
      </c>
      <c r="AL226" t="s">
        <v>376</v>
      </c>
      <c r="AM226" t="s">
        <v>46</v>
      </c>
      <c r="AN226" t="s">
        <v>60</v>
      </c>
      <c r="AO226" t="s">
        <v>62</v>
      </c>
      <c r="AP226" t="s">
        <v>543</v>
      </c>
      <c r="AQ226" t="s">
        <v>66</v>
      </c>
      <c r="AR226" t="s">
        <v>67</v>
      </c>
    </row>
    <row r="227" spans="1:44">
      <c r="A227" s="1">
        <v>45427</v>
      </c>
      <c r="B227" s="2">
        <v>0.24356481481481482</v>
      </c>
      <c r="C227" t="s">
        <v>44</v>
      </c>
      <c r="D227" t="s">
        <v>45</v>
      </c>
      <c r="E227">
        <v>0.71899999999999997</v>
      </c>
      <c r="F227" t="s">
        <v>46</v>
      </c>
      <c r="G227" t="s">
        <v>47</v>
      </c>
      <c r="H227" t="s">
        <v>45</v>
      </c>
      <c r="I227">
        <v>0.30980000000000002</v>
      </c>
      <c r="J227" t="s">
        <v>46</v>
      </c>
      <c r="K227" t="s">
        <v>48</v>
      </c>
      <c r="L227" t="s">
        <v>49</v>
      </c>
      <c r="M227" t="s">
        <v>50</v>
      </c>
      <c r="N227" t="s">
        <v>51</v>
      </c>
      <c r="O227">
        <v>3.45</v>
      </c>
      <c r="P227">
        <v>8.26</v>
      </c>
      <c r="Q227" t="s">
        <v>46</v>
      </c>
      <c r="R227" t="s">
        <v>52</v>
      </c>
      <c r="S227" t="s">
        <v>53</v>
      </c>
      <c r="T227" t="s">
        <v>46</v>
      </c>
      <c r="U227" t="s">
        <v>54</v>
      </c>
      <c r="V227" t="s">
        <v>55</v>
      </c>
      <c r="W227" t="s">
        <v>544</v>
      </c>
      <c r="X227" t="s">
        <v>165</v>
      </c>
      <c r="Y227">
        <v>1.41</v>
      </c>
      <c r="Z227" t="s">
        <v>46</v>
      </c>
      <c r="AA227" t="s">
        <v>58</v>
      </c>
      <c r="AB227" t="s">
        <v>59</v>
      </c>
      <c r="AC227">
        <v>283</v>
      </c>
      <c r="AD227" t="s">
        <v>46</v>
      </c>
      <c r="AE227" t="s">
        <v>60</v>
      </c>
      <c r="AF227" t="s">
        <v>45</v>
      </c>
      <c r="AG227" t="s">
        <v>46</v>
      </c>
      <c r="AH227" t="s">
        <v>61</v>
      </c>
      <c r="AI227" t="s">
        <v>48</v>
      </c>
      <c r="AJ227" t="s">
        <v>62</v>
      </c>
      <c r="AK227" t="s">
        <v>63</v>
      </c>
      <c r="AL227" t="s">
        <v>376</v>
      </c>
      <c r="AM227" t="s">
        <v>46</v>
      </c>
      <c r="AN227" t="s">
        <v>60</v>
      </c>
      <c r="AO227" t="s">
        <v>62</v>
      </c>
      <c r="AP227" t="s">
        <v>545</v>
      </c>
      <c r="AQ227" t="s">
        <v>66</v>
      </c>
      <c r="AR227" t="s">
        <v>67</v>
      </c>
    </row>
    <row r="228" spans="1:44">
      <c r="A228" s="1">
        <v>45427</v>
      </c>
      <c r="B228" s="2">
        <v>0.24362268518518518</v>
      </c>
      <c r="C228" t="s">
        <v>44</v>
      </c>
      <c r="D228" t="s">
        <v>45</v>
      </c>
      <c r="E228">
        <v>0.69699999999999995</v>
      </c>
      <c r="F228" t="s">
        <v>46</v>
      </c>
      <c r="G228" t="s">
        <v>47</v>
      </c>
      <c r="H228" t="s">
        <v>45</v>
      </c>
      <c r="I228">
        <v>0.30980000000000002</v>
      </c>
      <c r="J228" t="s">
        <v>46</v>
      </c>
      <c r="K228" t="s">
        <v>48</v>
      </c>
      <c r="L228" t="s">
        <v>49</v>
      </c>
      <c r="M228" t="s">
        <v>50</v>
      </c>
      <c r="N228" t="s">
        <v>51</v>
      </c>
      <c r="O228">
        <v>3.45</v>
      </c>
      <c r="P228">
        <v>8.26</v>
      </c>
      <c r="Q228" t="s">
        <v>46</v>
      </c>
      <c r="R228" t="s">
        <v>52</v>
      </c>
      <c r="S228" t="s">
        <v>53</v>
      </c>
      <c r="T228" t="s">
        <v>46</v>
      </c>
      <c r="U228" t="s">
        <v>54</v>
      </c>
      <c r="V228" t="s">
        <v>55</v>
      </c>
      <c r="W228" t="s">
        <v>493</v>
      </c>
      <c r="X228" t="s">
        <v>174</v>
      </c>
      <c r="Y228">
        <v>1.41</v>
      </c>
      <c r="Z228" t="s">
        <v>46</v>
      </c>
      <c r="AA228" t="s">
        <v>58</v>
      </c>
      <c r="AB228" t="s">
        <v>59</v>
      </c>
      <c r="AC228">
        <v>283</v>
      </c>
      <c r="AD228" t="s">
        <v>46</v>
      </c>
      <c r="AE228" t="s">
        <v>60</v>
      </c>
      <c r="AF228" t="s">
        <v>45</v>
      </c>
      <c r="AG228" t="s">
        <v>46</v>
      </c>
      <c r="AH228" t="s">
        <v>61</v>
      </c>
      <c r="AI228" t="s">
        <v>48</v>
      </c>
      <c r="AJ228" t="s">
        <v>62</v>
      </c>
      <c r="AK228" t="s">
        <v>63</v>
      </c>
      <c r="AL228" t="s">
        <v>376</v>
      </c>
      <c r="AM228" t="s">
        <v>46</v>
      </c>
      <c r="AN228" t="s">
        <v>60</v>
      </c>
      <c r="AO228" t="s">
        <v>62</v>
      </c>
      <c r="AP228" t="s">
        <v>546</v>
      </c>
      <c r="AQ228" t="s">
        <v>66</v>
      </c>
      <c r="AR228" t="s">
        <v>67</v>
      </c>
    </row>
    <row r="229" spans="1:44">
      <c r="A229" s="1">
        <v>45427</v>
      </c>
      <c r="B229" s="2">
        <v>0.24366898148148147</v>
      </c>
      <c r="C229" t="s">
        <v>44</v>
      </c>
      <c r="D229" t="s">
        <v>45</v>
      </c>
      <c r="E229">
        <v>0.48499999999999999</v>
      </c>
      <c r="F229" t="s">
        <v>46</v>
      </c>
      <c r="G229" t="s">
        <v>47</v>
      </c>
      <c r="H229" t="s">
        <v>45</v>
      </c>
      <c r="I229">
        <v>0.31</v>
      </c>
      <c r="J229" t="s">
        <v>46</v>
      </c>
      <c r="K229" t="s">
        <v>48</v>
      </c>
      <c r="L229" t="s">
        <v>49</v>
      </c>
      <c r="M229" t="s">
        <v>50</v>
      </c>
      <c r="N229" t="s">
        <v>51</v>
      </c>
      <c r="O229">
        <v>3.45</v>
      </c>
      <c r="P229">
        <v>8.26</v>
      </c>
      <c r="Q229" t="s">
        <v>46</v>
      </c>
      <c r="R229" t="s">
        <v>52</v>
      </c>
      <c r="S229" t="s">
        <v>53</v>
      </c>
      <c r="T229" t="s">
        <v>46</v>
      </c>
      <c r="U229" t="s">
        <v>54</v>
      </c>
      <c r="V229" t="s">
        <v>55</v>
      </c>
      <c r="W229" t="s">
        <v>547</v>
      </c>
      <c r="X229" t="s">
        <v>165</v>
      </c>
      <c r="Y229">
        <v>1.41</v>
      </c>
      <c r="Z229" t="s">
        <v>46</v>
      </c>
      <c r="AA229" t="s">
        <v>58</v>
      </c>
      <c r="AB229" t="s">
        <v>59</v>
      </c>
      <c r="AC229">
        <v>283</v>
      </c>
      <c r="AD229" t="s">
        <v>46</v>
      </c>
      <c r="AE229" t="s">
        <v>60</v>
      </c>
      <c r="AF229" t="s">
        <v>45</v>
      </c>
      <c r="AG229" t="s">
        <v>46</v>
      </c>
      <c r="AH229" t="s">
        <v>61</v>
      </c>
      <c r="AI229" t="s">
        <v>48</v>
      </c>
      <c r="AJ229" t="s">
        <v>62</v>
      </c>
      <c r="AK229" t="s">
        <v>63</v>
      </c>
      <c r="AL229" t="s">
        <v>376</v>
      </c>
      <c r="AM229" t="s">
        <v>46</v>
      </c>
      <c r="AN229" t="s">
        <v>60</v>
      </c>
      <c r="AO229" t="s">
        <v>62</v>
      </c>
      <c r="AP229" t="s">
        <v>548</v>
      </c>
      <c r="AQ229" t="s">
        <v>66</v>
      </c>
      <c r="AR229" t="s">
        <v>67</v>
      </c>
    </row>
    <row r="230" spans="1:44">
      <c r="A230" s="1">
        <v>45427</v>
      </c>
      <c r="B230" s="2">
        <v>0.24371527777777777</v>
      </c>
      <c r="C230" t="s">
        <v>44</v>
      </c>
      <c r="D230" t="s">
        <v>45</v>
      </c>
      <c r="E230">
        <v>0.58799999999999997</v>
      </c>
      <c r="F230" t="s">
        <v>46</v>
      </c>
      <c r="G230" t="s">
        <v>47</v>
      </c>
      <c r="H230" t="s">
        <v>45</v>
      </c>
      <c r="I230">
        <v>0.30980000000000002</v>
      </c>
      <c r="J230" t="s">
        <v>46</v>
      </c>
      <c r="K230" t="s">
        <v>48</v>
      </c>
      <c r="L230" t="s">
        <v>49</v>
      </c>
      <c r="M230" t="s">
        <v>50</v>
      </c>
      <c r="N230" t="s">
        <v>51</v>
      </c>
      <c r="O230">
        <v>3.45</v>
      </c>
      <c r="P230">
        <v>8.26</v>
      </c>
      <c r="Q230" t="s">
        <v>46</v>
      </c>
      <c r="R230" t="s">
        <v>52</v>
      </c>
      <c r="S230" t="s">
        <v>53</v>
      </c>
      <c r="T230" t="s">
        <v>46</v>
      </c>
      <c r="U230" t="s">
        <v>54</v>
      </c>
      <c r="V230" t="s">
        <v>55</v>
      </c>
      <c r="W230" t="s">
        <v>547</v>
      </c>
      <c r="X230" t="s">
        <v>165</v>
      </c>
      <c r="Y230">
        <v>1.41</v>
      </c>
      <c r="Z230" t="s">
        <v>46</v>
      </c>
      <c r="AA230" t="s">
        <v>58</v>
      </c>
      <c r="AB230" t="s">
        <v>59</v>
      </c>
      <c r="AC230">
        <v>283</v>
      </c>
      <c r="AD230" t="s">
        <v>46</v>
      </c>
      <c r="AE230" t="s">
        <v>60</v>
      </c>
      <c r="AF230" t="s">
        <v>45</v>
      </c>
      <c r="AG230" t="s">
        <v>46</v>
      </c>
      <c r="AH230" t="s">
        <v>61</v>
      </c>
      <c r="AI230" t="s">
        <v>48</v>
      </c>
      <c r="AJ230" t="s">
        <v>62</v>
      </c>
      <c r="AK230" t="s">
        <v>63</v>
      </c>
      <c r="AL230" t="s">
        <v>376</v>
      </c>
      <c r="AM230" t="s">
        <v>46</v>
      </c>
      <c r="AN230" t="s">
        <v>60</v>
      </c>
      <c r="AO230" t="s">
        <v>62</v>
      </c>
      <c r="AP230" t="s">
        <v>549</v>
      </c>
      <c r="AQ230" t="s">
        <v>66</v>
      </c>
      <c r="AR230" t="s">
        <v>67</v>
      </c>
    </row>
    <row r="231" spans="1:44">
      <c r="A231" s="1">
        <v>45427</v>
      </c>
      <c r="B231" s="2">
        <v>0.24376157407407406</v>
      </c>
      <c r="C231" t="s">
        <v>44</v>
      </c>
      <c r="D231" t="s">
        <v>45</v>
      </c>
      <c r="E231">
        <v>0.67600000000000005</v>
      </c>
      <c r="F231" t="s">
        <v>46</v>
      </c>
      <c r="G231" t="s">
        <v>47</v>
      </c>
      <c r="H231" t="s">
        <v>45</v>
      </c>
      <c r="I231">
        <v>0.30990000000000001</v>
      </c>
      <c r="J231" t="s">
        <v>46</v>
      </c>
      <c r="K231" t="s">
        <v>48</v>
      </c>
      <c r="L231" t="s">
        <v>49</v>
      </c>
      <c r="M231" t="s">
        <v>50</v>
      </c>
      <c r="N231" t="s">
        <v>51</v>
      </c>
      <c r="O231">
        <v>3.45</v>
      </c>
      <c r="P231">
        <v>8.26</v>
      </c>
      <c r="Q231" t="s">
        <v>46</v>
      </c>
      <c r="R231" t="s">
        <v>52</v>
      </c>
      <c r="S231" t="s">
        <v>53</v>
      </c>
      <c r="T231" t="s">
        <v>46</v>
      </c>
      <c r="U231" t="s">
        <v>54</v>
      </c>
      <c r="V231" t="s">
        <v>55</v>
      </c>
      <c r="W231" t="s">
        <v>139</v>
      </c>
      <c r="X231" t="s">
        <v>430</v>
      </c>
      <c r="Y231">
        <v>1.41</v>
      </c>
      <c r="Z231" t="s">
        <v>46</v>
      </c>
      <c r="AA231" t="s">
        <v>58</v>
      </c>
      <c r="AB231" t="s">
        <v>59</v>
      </c>
      <c r="AC231">
        <v>283</v>
      </c>
      <c r="AD231" t="s">
        <v>46</v>
      </c>
      <c r="AE231" t="s">
        <v>60</v>
      </c>
      <c r="AF231" t="s">
        <v>45</v>
      </c>
      <c r="AG231" t="s">
        <v>46</v>
      </c>
      <c r="AH231" t="s">
        <v>61</v>
      </c>
      <c r="AI231" t="s">
        <v>48</v>
      </c>
      <c r="AJ231" t="s">
        <v>62</v>
      </c>
      <c r="AK231" t="s">
        <v>63</v>
      </c>
      <c r="AL231" t="s">
        <v>376</v>
      </c>
      <c r="AM231" t="s">
        <v>46</v>
      </c>
      <c r="AN231" t="s">
        <v>60</v>
      </c>
      <c r="AO231" t="s">
        <v>62</v>
      </c>
      <c r="AP231" t="s">
        <v>550</v>
      </c>
      <c r="AQ231" t="s">
        <v>66</v>
      </c>
      <c r="AR231" t="s">
        <v>67</v>
      </c>
    </row>
    <row r="232" spans="1:44">
      <c r="A232" s="1">
        <v>45427</v>
      </c>
      <c r="B232" s="2">
        <v>0.24381944444444445</v>
      </c>
      <c r="C232" t="s">
        <v>44</v>
      </c>
      <c r="D232" t="s">
        <v>45</v>
      </c>
      <c r="E232">
        <v>0.56200000000000006</v>
      </c>
      <c r="F232" t="s">
        <v>46</v>
      </c>
      <c r="G232" t="s">
        <v>47</v>
      </c>
      <c r="H232" t="s">
        <v>45</v>
      </c>
      <c r="I232">
        <v>0.30990000000000001</v>
      </c>
      <c r="J232" t="s">
        <v>46</v>
      </c>
      <c r="K232" t="s">
        <v>48</v>
      </c>
      <c r="L232" t="s">
        <v>49</v>
      </c>
      <c r="M232" t="s">
        <v>50</v>
      </c>
      <c r="N232" t="s">
        <v>51</v>
      </c>
      <c r="O232">
        <v>3.45</v>
      </c>
      <c r="P232">
        <v>8.26</v>
      </c>
      <c r="Q232" t="s">
        <v>46</v>
      </c>
      <c r="R232" t="s">
        <v>52</v>
      </c>
      <c r="S232" t="s">
        <v>53</v>
      </c>
      <c r="T232" t="s">
        <v>46</v>
      </c>
      <c r="U232" t="s">
        <v>54</v>
      </c>
      <c r="V232" t="s">
        <v>55</v>
      </c>
      <c r="W232" t="s">
        <v>462</v>
      </c>
      <c r="X232" t="s">
        <v>165</v>
      </c>
      <c r="Y232">
        <v>1.41</v>
      </c>
      <c r="Z232" t="s">
        <v>46</v>
      </c>
      <c r="AA232" t="s">
        <v>58</v>
      </c>
      <c r="AB232" t="s">
        <v>59</v>
      </c>
      <c r="AC232">
        <v>283</v>
      </c>
      <c r="AD232" t="s">
        <v>46</v>
      </c>
      <c r="AE232" t="s">
        <v>60</v>
      </c>
      <c r="AF232" t="s">
        <v>45</v>
      </c>
      <c r="AG232" t="s">
        <v>46</v>
      </c>
      <c r="AH232" t="s">
        <v>61</v>
      </c>
      <c r="AI232" t="s">
        <v>48</v>
      </c>
      <c r="AJ232" t="s">
        <v>62</v>
      </c>
      <c r="AK232" t="s">
        <v>63</v>
      </c>
      <c r="AL232" t="s">
        <v>376</v>
      </c>
      <c r="AM232" t="s">
        <v>46</v>
      </c>
      <c r="AN232" t="s">
        <v>60</v>
      </c>
      <c r="AO232" t="s">
        <v>62</v>
      </c>
      <c r="AP232" t="s">
        <v>551</v>
      </c>
      <c r="AQ232" t="s">
        <v>66</v>
      </c>
      <c r="AR232" t="s">
        <v>67</v>
      </c>
    </row>
    <row r="233" spans="1:44">
      <c r="A233" s="1">
        <v>45427</v>
      </c>
      <c r="B233" s="2">
        <v>0.24386574074074074</v>
      </c>
      <c r="C233" t="s">
        <v>44</v>
      </c>
      <c r="D233" t="s">
        <v>45</v>
      </c>
      <c r="E233">
        <v>0.78100000000000003</v>
      </c>
      <c r="F233" t="s">
        <v>46</v>
      </c>
      <c r="G233" t="s">
        <v>47</v>
      </c>
      <c r="H233" t="s">
        <v>45</v>
      </c>
      <c r="I233">
        <v>0.30980000000000002</v>
      </c>
      <c r="J233" t="s">
        <v>46</v>
      </c>
      <c r="K233" t="s">
        <v>48</v>
      </c>
      <c r="L233" t="s">
        <v>49</v>
      </c>
      <c r="M233" t="s">
        <v>50</v>
      </c>
      <c r="N233" t="s">
        <v>51</v>
      </c>
      <c r="O233">
        <v>3.45</v>
      </c>
      <c r="P233">
        <v>8.26</v>
      </c>
      <c r="Q233" t="s">
        <v>46</v>
      </c>
      <c r="R233" t="s">
        <v>52</v>
      </c>
      <c r="S233" t="s">
        <v>53</v>
      </c>
      <c r="T233" t="s">
        <v>46</v>
      </c>
      <c r="U233" t="s">
        <v>54</v>
      </c>
      <c r="V233" t="s">
        <v>55</v>
      </c>
      <c r="W233" t="s">
        <v>77</v>
      </c>
      <c r="X233" t="s">
        <v>430</v>
      </c>
      <c r="Y233">
        <v>1.41</v>
      </c>
      <c r="Z233" t="s">
        <v>46</v>
      </c>
      <c r="AA233" t="s">
        <v>58</v>
      </c>
      <c r="AB233" t="s">
        <v>59</v>
      </c>
      <c r="AC233">
        <v>283</v>
      </c>
      <c r="AD233" t="s">
        <v>46</v>
      </c>
      <c r="AE233" t="s">
        <v>60</v>
      </c>
      <c r="AF233" t="s">
        <v>45</v>
      </c>
      <c r="AG233" t="s">
        <v>46</v>
      </c>
      <c r="AH233" t="s">
        <v>61</v>
      </c>
      <c r="AI233" t="s">
        <v>48</v>
      </c>
      <c r="AJ233" t="s">
        <v>62</v>
      </c>
      <c r="AK233" t="s">
        <v>63</v>
      </c>
      <c r="AL233" t="s">
        <v>376</v>
      </c>
      <c r="AM233" t="s">
        <v>46</v>
      </c>
      <c r="AN233" t="s">
        <v>60</v>
      </c>
      <c r="AO233" t="s">
        <v>62</v>
      </c>
      <c r="AP233" t="s">
        <v>552</v>
      </c>
      <c r="AQ233" t="s">
        <v>66</v>
      </c>
      <c r="AR233" t="s">
        <v>67</v>
      </c>
    </row>
    <row r="234" spans="1:44">
      <c r="A234" s="1">
        <v>45427</v>
      </c>
      <c r="B234" s="2">
        <v>0.24391203703703704</v>
      </c>
      <c r="C234" t="s">
        <v>44</v>
      </c>
      <c r="D234" t="s">
        <v>45</v>
      </c>
      <c r="E234">
        <v>0.66700000000000004</v>
      </c>
      <c r="F234" t="s">
        <v>46</v>
      </c>
      <c r="G234" t="s">
        <v>47</v>
      </c>
      <c r="H234" t="s">
        <v>45</v>
      </c>
      <c r="I234">
        <v>0.30959999999999999</v>
      </c>
      <c r="J234" t="s">
        <v>46</v>
      </c>
      <c r="K234" t="s">
        <v>48</v>
      </c>
      <c r="L234" t="s">
        <v>49</v>
      </c>
      <c r="M234" t="s">
        <v>50</v>
      </c>
      <c r="N234" t="s">
        <v>51</v>
      </c>
      <c r="O234">
        <v>3.45</v>
      </c>
      <c r="P234">
        <v>8.26</v>
      </c>
      <c r="Q234" t="s">
        <v>46</v>
      </c>
      <c r="R234" t="s">
        <v>52</v>
      </c>
      <c r="S234" t="s">
        <v>53</v>
      </c>
      <c r="T234" t="s">
        <v>46</v>
      </c>
      <c r="U234" t="s">
        <v>54</v>
      </c>
      <c r="V234" t="s">
        <v>55</v>
      </c>
      <c r="W234" t="s">
        <v>168</v>
      </c>
      <c r="X234" t="s">
        <v>168</v>
      </c>
      <c r="Y234">
        <v>1.41</v>
      </c>
      <c r="Z234" t="s">
        <v>46</v>
      </c>
      <c r="AA234" t="s">
        <v>58</v>
      </c>
      <c r="AB234" t="s">
        <v>59</v>
      </c>
      <c r="AC234">
        <v>283</v>
      </c>
      <c r="AD234" t="s">
        <v>46</v>
      </c>
      <c r="AE234" t="s">
        <v>60</v>
      </c>
      <c r="AF234" t="s">
        <v>45</v>
      </c>
      <c r="AG234" t="s">
        <v>46</v>
      </c>
      <c r="AH234" t="s">
        <v>61</v>
      </c>
      <c r="AI234" t="s">
        <v>48</v>
      </c>
      <c r="AJ234" t="s">
        <v>62</v>
      </c>
      <c r="AK234" t="s">
        <v>63</v>
      </c>
      <c r="AL234" t="s">
        <v>376</v>
      </c>
      <c r="AM234" t="s">
        <v>46</v>
      </c>
      <c r="AN234" t="s">
        <v>60</v>
      </c>
      <c r="AO234" t="s">
        <v>62</v>
      </c>
      <c r="AP234" t="s">
        <v>553</v>
      </c>
      <c r="AQ234" t="s">
        <v>66</v>
      </c>
      <c r="AR234" t="s">
        <v>67</v>
      </c>
    </row>
    <row r="235" spans="1:44">
      <c r="A235" s="1">
        <v>45427</v>
      </c>
      <c r="B235" s="2">
        <v>0.24395833333333333</v>
      </c>
      <c r="C235" t="s">
        <v>44</v>
      </c>
      <c r="D235" t="s">
        <v>45</v>
      </c>
      <c r="E235">
        <v>0.57099999999999995</v>
      </c>
      <c r="F235" t="s">
        <v>46</v>
      </c>
      <c r="G235" t="s">
        <v>47</v>
      </c>
      <c r="H235" t="s">
        <v>45</v>
      </c>
      <c r="I235">
        <v>0.30980000000000002</v>
      </c>
      <c r="J235" t="s">
        <v>46</v>
      </c>
      <c r="K235" t="s">
        <v>48</v>
      </c>
      <c r="L235" t="s">
        <v>49</v>
      </c>
      <c r="M235" t="s">
        <v>50</v>
      </c>
      <c r="N235" t="s">
        <v>51</v>
      </c>
      <c r="O235">
        <v>3.45</v>
      </c>
      <c r="P235">
        <v>8.26</v>
      </c>
      <c r="Q235" t="s">
        <v>46</v>
      </c>
      <c r="R235" t="s">
        <v>52</v>
      </c>
      <c r="S235" t="s">
        <v>53</v>
      </c>
      <c r="T235" t="s">
        <v>46</v>
      </c>
      <c r="U235" t="s">
        <v>54</v>
      </c>
      <c r="V235" t="s">
        <v>55</v>
      </c>
      <c r="W235" t="s">
        <v>203</v>
      </c>
      <c r="X235" t="s">
        <v>146</v>
      </c>
      <c r="Y235">
        <v>1.41</v>
      </c>
      <c r="Z235" t="s">
        <v>46</v>
      </c>
      <c r="AA235" t="s">
        <v>58</v>
      </c>
      <c r="AB235" t="s">
        <v>59</v>
      </c>
      <c r="AC235">
        <v>283</v>
      </c>
      <c r="AD235" t="s">
        <v>46</v>
      </c>
      <c r="AE235" t="s">
        <v>60</v>
      </c>
      <c r="AF235" t="s">
        <v>45</v>
      </c>
      <c r="AG235" t="s">
        <v>46</v>
      </c>
      <c r="AH235" t="s">
        <v>61</v>
      </c>
      <c r="AI235" t="s">
        <v>48</v>
      </c>
      <c r="AJ235" t="s">
        <v>62</v>
      </c>
      <c r="AK235" t="s">
        <v>63</v>
      </c>
      <c r="AL235" t="s">
        <v>376</v>
      </c>
      <c r="AM235" t="s">
        <v>46</v>
      </c>
      <c r="AN235" t="s">
        <v>60</v>
      </c>
      <c r="AO235" t="s">
        <v>62</v>
      </c>
      <c r="AP235" t="s">
        <v>554</v>
      </c>
      <c r="AQ235" t="s">
        <v>66</v>
      </c>
      <c r="AR235" t="s">
        <v>67</v>
      </c>
    </row>
    <row r="236" spans="1:44">
      <c r="A236" s="1">
        <v>45427</v>
      </c>
      <c r="B236" s="2">
        <v>0.24401620370370369</v>
      </c>
      <c r="C236" t="s">
        <v>44</v>
      </c>
      <c r="D236" t="s">
        <v>45</v>
      </c>
      <c r="E236">
        <v>0.54500000000000004</v>
      </c>
      <c r="F236" t="s">
        <v>46</v>
      </c>
      <c r="G236" t="s">
        <v>47</v>
      </c>
      <c r="H236" t="s">
        <v>45</v>
      </c>
      <c r="I236">
        <v>0.30980000000000002</v>
      </c>
      <c r="J236" t="s">
        <v>46</v>
      </c>
      <c r="K236" t="s">
        <v>48</v>
      </c>
      <c r="L236" t="s">
        <v>49</v>
      </c>
      <c r="M236" t="s">
        <v>50</v>
      </c>
      <c r="N236" t="s">
        <v>51</v>
      </c>
      <c r="O236">
        <v>3.45</v>
      </c>
      <c r="P236">
        <v>8.26</v>
      </c>
      <c r="Q236" t="s">
        <v>46</v>
      </c>
      <c r="R236" t="s">
        <v>52</v>
      </c>
      <c r="S236" t="s">
        <v>53</v>
      </c>
      <c r="T236" t="s">
        <v>46</v>
      </c>
      <c r="U236" t="s">
        <v>54</v>
      </c>
      <c r="V236" t="s">
        <v>55</v>
      </c>
      <c r="W236" t="s">
        <v>74</v>
      </c>
      <c r="X236" t="s">
        <v>146</v>
      </c>
      <c r="Y236">
        <v>1.4</v>
      </c>
      <c r="Z236" t="s">
        <v>46</v>
      </c>
      <c r="AA236" t="s">
        <v>58</v>
      </c>
      <c r="AB236" t="s">
        <v>59</v>
      </c>
      <c r="AC236">
        <v>282</v>
      </c>
      <c r="AD236" t="s">
        <v>46</v>
      </c>
      <c r="AE236" t="s">
        <v>60</v>
      </c>
      <c r="AF236" t="s">
        <v>45</v>
      </c>
      <c r="AG236" t="s">
        <v>46</v>
      </c>
      <c r="AH236" t="s">
        <v>61</v>
      </c>
      <c r="AI236" t="s">
        <v>48</v>
      </c>
      <c r="AJ236" t="s">
        <v>62</v>
      </c>
      <c r="AK236" t="s">
        <v>63</v>
      </c>
      <c r="AL236" t="s">
        <v>376</v>
      </c>
      <c r="AM236" t="s">
        <v>46</v>
      </c>
      <c r="AN236" t="s">
        <v>60</v>
      </c>
      <c r="AO236" t="s">
        <v>62</v>
      </c>
      <c r="AP236" t="s">
        <v>555</v>
      </c>
      <c r="AQ236" t="s">
        <v>66</v>
      </c>
      <c r="AR236" t="s">
        <v>67</v>
      </c>
    </row>
    <row r="237" spans="1:44">
      <c r="A237" s="1">
        <v>45427</v>
      </c>
      <c r="B237" s="2">
        <v>0.24406249999999999</v>
      </c>
      <c r="C237" t="s">
        <v>44</v>
      </c>
      <c r="D237" t="s">
        <v>45</v>
      </c>
      <c r="E237">
        <v>0.71</v>
      </c>
      <c r="F237" t="s">
        <v>46</v>
      </c>
      <c r="G237" t="s">
        <v>47</v>
      </c>
      <c r="H237" t="s">
        <v>45</v>
      </c>
      <c r="I237">
        <v>0.30969999999999998</v>
      </c>
      <c r="J237" t="s">
        <v>46</v>
      </c>
      <c r="K237" t="s">
        <v>48</v>
      </c>
      <c r="L237" t="s">
        <v>49</v>
      </c>
      <c r="M237" t="s">
        <v>50</v>
      </c>
      <c r="N237" t="s">
        <v>51</v>
      </c>
      <c r="O237">
        <v>3.45</v>
      </c>
      <c r="P237">
        <v>8.26</v>
      </c>
      <c r="Q237" t="s">
        <v>46</v>
      </c>
      <c r="R237" t="s">
        <v>52</v>
      </c>
      <c r="S237" t="s">
        <v>53</v>
      </c>
      <c r="T237" t="s">
        <v>46</v>
      </c>
      <c r="U237" t="s">
        <v>54</v>
      </c>
      <c r="V237" t="s">
        <v>55</v>
      </c>
      <c r="W237" t="s">
        <v>74</v>
      </c>
      <c r="X237" t="s">
        <v>146</v>
      </c>
      <c r="Y237">
        <v>1.4</v>
      </c>
      <c r="Z237" t="s">
        <v>46</v>
      </c>
      <c r="AA237" t="s">
        <v>58</v>
      </c>
      <c r="AB237" t="s">
        <v>59</v>
      </c>
      <c r="AC237">
        <v>282</v>
      </c>
      <c r="AD237" t="s">
        <v>46</v>
      </c>
      <c r="AE237" t="s">
        <v>60</v>
      </c>
      <c r="AF237" t="s">
        <v>45</v>
      </c>
      <c r="AG237" t="s">
        <v>46</v>
      </c>
      <c r="AH237" t="s">
        <v>61</v>
      </c>
      <c r="AI237" t="s">
        <v>48</v>
      </c>
      <c r="AJ237" t="s">
        <v>62</v>
      </c>
      <c r="AK237" t="s">
        <v>63</v>
      </c>
      <c r="AL237" t="s">
        <v>376</v>
      </c>
      <c r="AM237" t="s">
        <v>46</v>
      </c>
      <c r="AN237" t="s">
        <v>60</v>
      </c>
      <c r="AO237" t="s">
        <v>62</v>
      </c>
      <c r="AP237" t="s">
        <v>556</v>
      </c>
      <c r="AQ237" t="s">
        <v>66</v>
      </c>
      <c r="AR237" t="s">
        <v>67</v>
      </c>
    </row>
    <row r="238" spans="1:44">
      <c r="A238" s="1">
        <v>45427</v>
      </c>
      <c r="B238" s="2">
        <v>0.24410879629629631</v>
      </c>
      <c r="C238" t="s">
        <v>44</v>
      </c>
      <c r="D238" t="s">
        <v>45</v>
      </c>
      <c r="E238">
        <v>0.58799999999999997</v>
      </c>
      <c r="F238" t="s">
        <v>46</v>
      </c>
      <c r="G238" t="s">
        <v>47</v>
      </c>
      <c r="H238" t="s">
        <v>45</v>
      </c>
      <c r="I238">
        <v>0.30969999999999998</v>
      </c>
      <c r="J238" t="s">
        <v>46</v>
      </c>
      <c r="K238" t="s">
        <v>48</v>
      </c>
      <c r="L238" t="s">
        <v>49</v>
      </c>
      <c r="M238" t="s">
        <v>50</v>
      </c>
      <c r="N238" t="s">
        <v>51</v>
      </c>
      <c r="O238">
        <v>3.45</v>
      </c>
      <c r="P238">
        <v>8.26</v>
      </c>
      <c r="Q238" t="s">
        <v>46</v>
      </c>
      <c r="R238" t="s">
        <v>52</v>
      </c>
      <c r="S238" t="s">
        <v>53</v>
      </c>
      <c r="T238" t="s">
        <v>46</v>
      </c>
      <c r="U238" t="s">
        <v>54</v>
      </c>
      <c r="V238" t="s">
        <v>55</v>
      </c>
      <c r="W238" t="s">
        <v>460</v>
      </c>
      <c r="X238" t="s">
        <v>179</v>
      </c>
      <c r="Y238">
        <v>1.4</v>
      </c>
      <c r="Z238" t="s">
        <v>46</v>
      </c>
      <c r="AA238" t="s">
        <v>58</v>
      </c>
      <c r="AB238" t="s">
        <v>59</v>
      </c>
      <c r="AC238">
        <v>282</v>
      </c>
      <c r="AD238" t="s">
        <v>46</v>
      </c>
      <c r="AE238" t="s">
        <v>60</v>
      </c>
      <c r="AF238" t="s">
        <v>45</v>
      </c>
      <c r="AG238" t="s">
        <v>46</v>
      </c>
      <c r="AH238" t="s">
        <v>61</v>
      </c>
      <c r="AI238" t="s">
        <v>48</v>
      </c>
      <c r="AJ238" t="s">
        <v>62</v>
      </c>
      <c r="AK238" t="s">
        <v>63</v>
      </c>
      <c r="AL238" t="s">
        <v>376</v>
      </c>
      <c r="AM238" t="s">
        <v>46</v>
      </c>
      <c r="AN238" t="s">
        <v>60</v>
      </c>
      <c r="AO238" t="s">
        <v>62</v>
      </c>
      <c r="AP238" t="s">
        <v>557</v>
      </c>
      <c r="AQ238" t="s">
        <v>66</v>
      </c>
      <c r="AR238" t="s">
        <v>67</v>
      </c>
    </row>
    <row r="239" spans="1:44">
      <c r="A239" s="1">
        <v>45427</v>
      </c>
      <c r="B239" s="2">
        <v>0.2441550925925926</v>
      </c>
      <c r="C239" t="s">
        <v>44</v>
      </c>
      <c r="D239" t="s">
        <v>45</v>
      </c>
      <c r="E239">
        <v>0.64500000000000002</v>
      </c>
      <c r="F239" t="s">
        <v>46</v>
      </c>
      <c r="G239" t="s">
        <v>47</v>
      </c>
      <c r="H239" t="s">
        <v>45</v>
      </c>
      <c r="I239">
        <v>0.30959999999999999</v>
      </c>
      <c r="J239" t="s">
        <v>46</v>
      </c>
      <c r="K239" t="s">
        <v>48</v>
      </c>
      <c r="L239" t="s">
        <v>49</v>
      </c>
      <c r="M239" t="s">
        <v>50</v>
      </c>
      <c r="N239" t="s">
        <v>51</v>
      </c>
      <c r="O239">
        <v>3.45</v>
      </c>
      <c r="P239">
        <v>8.26</v>
      </c>
      <c r="Q239" t="s">
        <v>46</v>
      </c>
      <c r="R239" t="s">
        <v>52</v>
      </c>
      <c r="S239" t="s">
        <v>53</v>
      </c>
      <c r="T239" t="s">
        <v>46</v>
      </c>
      <c r="U239" t="s">
        <v>54</v>
      </c>
      <c r="V239" t="s">
        <v>55</v>
      </c>
      <c r="W239" t="s">
        <v>56</v>
      </c>
      <c r="X239" t="s">
        <v>146</v>
      </c>
      <c r="Y239">
        <v>1.4</v>
      </c>
      <c r="Z239" t="s">
        <v>46</v>
      </c>
      <c r="AA239" t="s">
        <v>58</v>
      </c>
      <c r="AB239" t="s">
        <v>59</v>
      </c>
      <c r="AC239">
        <v>282</v>
      </c>
      <c r="AD239" t="s">
        <v>46</v>
      </c>
      <c r="AE239" t="s">
        <v>60</v>
      </c>
      <c r="AF239" t="s">
        <v>45</v>
      </c>
      <c r="AG239" t="s">
        <v>46</v>
      </c>
      <c r="AH239" t="s">
        <v>61</v>
      </c>
      <c r="AI239" t="s">
        <v>48</v>
      </c>
      <c r="AJ239" t="s">
        <v>62</v>
      </c>
      <c r="AK239" t="s">
        <v>63</v>
      </c>
      <c r="AL239" t="s">
        <v>376</v>
      </c>
      <c r="AM239" t="s">
        <v>46</v>
      </c>
      <c r="AN239" t="s">
        <v>60</v>
      </c>
      <c r="AO239" t="s">
        <v>62</v>
      </c>
      <c r="AP239" t="s">
        <v>558</v>
      </c>
      <c r="AQ239" t="s">
        <v>66</v>
      </c>
      <c r="AR239" t="s">
        <v>67</v>
      </c>
    </row>
    <row r="240" spans="1:44">
      <c r="A240" s="1">
        <v>45427</v>
      </c>
      <c r="B240" s="2">
        <v>0.2442013888888889</v>
      </c>
      <c r="C240" t="s">
        <v>44</v>
      </c>
      <c r="D240" t="s">
        <v>45</v>
      </c>
      <c r="E240">
        <v>0.65600000000000003</v>
      </c>
      <c r="F240" t="s">
        <v>46</v>
      </c>
      <c r="G240" t="s">
        <v>47</v>
      </c>
      <c r="H240" t="s">
        <v>45</v>
      </c>
      <c r="I240">
        <v>0.30959999999999999</v>
      </c>
      <c r="J240" t="s">
        <v>46</v>
      </c>
      <c r="K240" t="s">
        <v>48</v>
      </c>
      <c r="L240" t="s">
        <v>49</v>
      </c>
      <c r="M240" t="s">
        <v>50</v>
      </c>
      <c r="N240" t="s">
        <v>51</v>
      </c>
      <c r="O240">
        <v>3.45</v>
      </c>
      <c r="P240">
        <v>8.26</v>
      </c>
      <c r="Q240" t="s">
        <v>46</v>
      </c>
      <c r="R240" t="s">
        <v>52</v>
      </c>
      <c r="S240" t="s">
        <v>53</v>
      </c>
      <c r="T240" t="s">
        <v>46</v>
      </c>
      <c r="U240" t="s">
        <v>54</v>
      </c>
      <c r="V240" t="s">
        <v>55</v>
      </c>
      <c r="W240" t="s">
        <v>192</v>
      </c>
      <c r="X240" t="s">
        <v>179</v>
      </c>
      <c r="Y240">
        <v>1.4</v>
      </c>
      <c r="Z240" t="s">
        <v>46</v>
      </c>
      <c r="AA240" t="s">
        <v>58</v>
      </c>
      <c r="AB240" t="s">
        <v>59</v>
      </c>
      <c r="AC240">
        <v>282</v>
      </c>
      <c r="AD240" t="s">
        <v>46</v>
      </c>
      <c r="AE240" t="s">
        <v>60</v>
      </c>
      <c r="AF240" t="s">
        <v>45</v>
      </c>
      <c r="AG240" t="s">
        <v>46</v>
      </c>
      <c r="AH240" t="s">
        <v>61</v>
      </c>
      <c r="AI240" t="s">
        <v>48</v>
      </c>
      <c r="AJ240" t="s">
        <v>62</v>
      </c>
      <c r="AK240" t="s">
        <v>63</v>
      </c>
      <c r="AL240" t="s">
        <v>376</v>
      </c>
      <c r="AM240" t="s">
        <v>46</v>
      </c>
      <c r="AN240" t="s">
        <v>60</v>
      </c>
      <c r="AO240" t="s">
        <v>62</v>
      </c>
      <c r="AP240" t="s">
        <v>559</v>
      </c>
      <c r="AQ240" t="s">
        <v>66</v>
      </c>
      <c r="AR240" t="s">
        <v>67</v>
      </c>
    </row>
    <row r="241" spans="1:44">
      <c r="A241" s="1">
        <v>45427</v>
      </c>
      <c r="B241" s="2">
        <v>0.24425925925925926</v>
      </c>
      <c r="C241" t="s">
        <v>44</v>
      </c>
      <c r="D241" t="s">
        <v>45</v>
      </c>
      <c r="E241">
        <v>0.61099999999999999</v>
      </c>
      <c r="F241" t="s">
        <v>46</v>
      </c>
      <c r="G241" t="s">
        <v>47</v>
      </c>
      <c r="H241" t="s">
        <v>45</v>
      </c>
      <c r="I241">
        <v>0.30909999999999999</v>
      </c>
      <c r="J241" t="s">
        <v>46</v>
      </c>
      <c r="K241" t="s">
        <v>48</v>
      </c>
      <c r="L241" t="s">
        <v>49</v>
      </c>
      <c r="M241" t="s">
        <v>50</v>
      </c>
      <c r="N241" t="s">
        <v>51</v>
      </c>
      <c r="O241">
        <v>3.45</v>
      </c>
      <c r="P241">
        <v>8.26</v>
      </c>
      <c r="Q241" t="s">
        <v>46</v>
      </c>
      <c r="R241" t="s">
        <v>52</v>
      </c>
      <c r="S241" t="s">
        <v>53</v>
      </c>
      <c r="T241" t="s">
        <v>46</v>
      </c>
      <c r="U241" t="s">
        <v>54</v>
      </c>
      <c r="V241" t="s">
        <v>55</v>
      </c>
      <c r="W241" t="s">
        <v>188</v>
      </c>
      <c r="X241" t="s">
        <v>432</v>
      </c>
      <c r="Y241">
        <v>1.4</v>
      </c>
      <c r="Z241" t="s">
        <v>46</v>
      </c>
      <c r="AA241" t="s">
        <v>58</v>
      </c>
      <c r="AB241" t="s">
        <v>59</v>
      </c>
      <c r="AC241">
        <v>282</v>
      </c>
      <c r="AD241" t="s">
        <v>46</v>
      </c>
      <c r="AE241" t="s">
        <v>60</v>
      </c>
      <c r="AF241" t="s">
        <v>45</v>
      </c>
      <c r="AG241" t="s">
        <v>46</v>
      </c>
      <c r="AH241" t="s">
        <v>61</v>
      </c>
      <c r="AI241" t="s">
        <v>48</v>
      </c>
      <c r="AJ241" t="s">
        <v>62</v>
      </c>
      <c r="AK241" t="s">
        <v>63</v>
      </c>
      <c r="AL241" t="s">
        <v>376</v>
      </c>
      <c r="AM241" t="s">
        <v>46</v>
      </c>
      <c r="AN241" t="s">
        <v>60</v>
      </c>
      <c r="AO241" t="s">
        <v>62</v>
      </c>
      <c r="AP241" t="s">
        <v>560</v>
      </c>
      <c r="AQ241" t="s">
        <v>66</v>
      </c>
      <c r="AR241" t="s">
        <v>67</v>
      </c>
    </row>
    <row r="242" spans="1:44">
      <c r="A242" s="1">
        <v>45427</v>
      </c>
      <c r="B242" s="2">
        <v>0.24430555555555555</v>
      </c>
      <c r="C242" t="s">
        <v>44</v>
      </c>
      <c r="D242" t="s">
        <v>45</v>
      </c>
      <c r="E242">
        <v>0.55900000000000005</v>
      </c>
      <c r="F242" t="s">
        <v>46</v>
      </c>
      <c r="G242" t="s">
        <v>47</v>
      </c>
      <c r="H242" t="s">
        <v>45</v>
      </c>
      <c r="I242">
        <v>0.30969999999999998</v>
      </c>
      <c r="J242" t="s">
        <v>46</v>
      </c>
      <c r="K242" t="s">
        <v>48</v>
      </c>
      <c r="L242" t="s">
        <v>49</v>
      </c>
      <c r="M242" t="s">
        <v>50</v>
      </c>
      <c r="N242" t="s">
        <v>51</v>
      </c>
      <c r="O242">
        <v>3.45</v>
      </c>
      <c r="P242">
        <v>8.26</v>
      </c>
      <c r="Q242" t="s">
        <v>46</v>
      </c>
      <c r="R242" t="s">
        <v>52</v>
      </c>
      <c r="S242" t="s">
        <v>53</v>
      </c>
      <c r="T242" t="s">
        <v>46</v>
      </c>
      <c r="U242" t="s">
        <v>54</v>
      </c>
      <c r="V242" t="s">
        <v>55</v>
      </c>
      <c r="W242" t="s">
        <v>292</v>
      </c>
      <c r="X242" t="s">
        <v>203</v>
      </c>
      <c r="Y242">
        <v>1.4</v>
      </c>
      <c r="Z242" t="s">
        <v>46</v>
      </c>
      <c r="AA242" t="s">
        <v>58</v>
      </c>
      <c r="AB242" t="s">
        <v>59</v>
      </c>
      <c r="AC242">
        <v>282</v>
      </c>
      <c r="AD242" t="s">
        <v>46</v>
      </c>
      <c r="AE242" t="s">
        <v>60</v>
      </c>
      <c r="AF242" t="s">
        <v>45</v>
      </c>
      <c r="AG242" t="s">
        <v>46</v>
      </c>
      <c r="AH242" t="s">
        <v>61</v>
      </c>
      <c r="AI242" t="s">
        <v>48</v>
      </c>
      <c r="AJ242" t="s">
        <v>62</v>
      </c>
      <c r="AK242" t="s">
        <v>63</v>
      </c>
      <c r="AL242" t="s">
        <v>376</v>
      </c>
      <c r="AM242" t="s">
        <v>46</v>
      </c>
      <c r="AN242" t="s">
        <v>60</v>
      </c>
      <c r="AO242" t="s">
        <v>62</v>
      </c>
      <c r="AP242" t="s">
        <v>561</v>
      </c>
      <c r="AQ242" t="s">
        <v>66</v>
      </c>
      <c r="AR242" t="s">
        <v>67</v>
      </c>
    </row>
    <row r="243" spans="1:44">
      <c r="A243" s="1">
        <v>45427</v>
      </c>
      <c r="B243" s="2">
        <v>0.24435185185185185</v>
      </c>
      <c r="C243" t="s">
        <v>44</v>
      </c>
      <c r="D243" t="s">
        <v>45</v>
      </c>
      <c r="E243">
        <v>0.73299999999999998</v>
      </c>
      <c r="F243" t="s">
        <v>46</v>
      </c>
      <c r="G243" t="s">
        <v>47</v>
      </c>
      <c r="H243" t="s">
        <v>45</v>
      </c>
      <c r="I243">
        <v>0.30969999999999998</v>
      </c>
      <c r="J243" t="s">
        <v>46</v>
      </c>
      <c r="K243" t="s">
        <v>48</v>
      </c>
      <c r="L243" t="s">
        <v>49</v>
      </c>
      <c r="M243" t="s">
        <v>50</v>
      </c>
      <c r="N243" t="s">
        <v>51</v>
      </c>
      <c r="O243">
        <v>3.45</v>
      </c>
      <c r="P243">
        <v>8.26</v>
      </c>
      <c r="Q243" t="s">
        <v>46</v>
      </c>
      <c r="R243" t="s">
        <v>52</v>
      </c>
      <c r="S243" t="s">
        <v>53</v>
      </c>
      <c r="T243" t="s">
        <v>46</v>
      </c>
      <c r="U243" t="s">
        <v>54</v>
      </c>
      <c r="V243" t="s">
        <v>55</v>
      </c>
      <c r="W243" t="s">
        <v>292</v>
      </c>
      <c r="X243" t="s">
        <v>203</v>
      </c>
      <c r="Y243">
        <v>1.4</v>
      </c>
      <c r="Z243" t="s">
        <v>46</v>
      </c>
      <c r="AA243" t="s">
        <v>58</v>
      </c>
      <c r="AB243" t="s">
        <v>59</v>
      </c>
      <c r="AC243">
        <v>283</v>
      </c>
      <c r="AD243" t="s">
        <v>46</v>
      </c>
      <c r="AE243" t="s">
        <v>60</v>
      </c>
      <c r="AF243" t="s">
        <v>45</v>
      </c>
      <c r="AG243" t="s">
        <v>46</v>
      </c>
      <c r="AH243" t="s">
        <v>61</v>
      </c>
      <c r="AI243" t="s">
        <v>48</v>
      </c>
      <c r="AJ243" t="s">
        <v>62</v>
      </c>
      <c r="AK243" t="s">
        <v>63</v>
      </c>
      <c r="AL243" t="s">
        <v>376</v>
      </c>
      <c r="AM243" t="s">
        <v>46</v>
      </c>
      <c r="AN243" t="s">
        <v>60</v>
      </c>
      <c r="AO243" t="s">
        <v>62</v>
      </c>
      <c r="AP243" t="s">
        <v>562</v>
      </c>
      <c r="AQ243" t="s">
        <v>66</v>
      </c>
      <c r="AR243" t="s">
        <v>67</v>
      </c>
    </row>
    <row r="244" spans="1:44">
      <c r="A244" s="1">
        <v>45427</v>
      </c>
      <c r="B244" s="2">
        <v>0.24439814814814814</v>
      </c>
      <c r="C244" t="s">
        <v>44</v>
      </c>
      <c r="D244" t="s">
        <v>45</v>
      </c>
      <c r="E244">
        <v>0.94399999999999995</v>
      </c>
      <c r="F244" t="s">
        <v>46</v>
      </c>
      <c r="G244" t="s">
        <v>47</v>
      </c>
      <c r="H244" t="s">
        <v>45</v>
      </c>
      <c r="I244">
        <v>0.31</v>
      </c>
      <c r="J244" t="s">
        <v>46</v>
      </c>
      <c r="K244" t="s">
        <v>48</v>
      </c>
      <c r="L244" t="s">
        <v>49</v>
      </c>
      <c r="M244" t="s">
        <v>50</v>
      </c>
      <c r="N244" t="s">
        <v>51</v>
      </c>
      <c r="O244">
        <v>3.45</v>
      </c>
      <c r="P244">
        <v>8.26</v>
      </c>
      <c r="Q244" t="s">
        <v>46</v>
      </c>
      <c r="R244" t="s">
        <v>52</v>
      </c>
      <c r="S244" t="s">
        <v>53</v>
      </c>
      <c r="T244" t="s">
        <v>46</v>
      </c>
      <c r="U244" t="s">
        <v>54</v>
      </c>
      <c r="V244" t="s">
        <v>55</v>
      </c>
      <c r="W244" t="s">
        <v>82</v>
      </c>
      <c r="X244" t="s">
        <v>132</v>
      </c>
      <c r="Y244">
        <v>1.39</v>
      </c>
      <c r="Z244" t="s">
        <v>46</v>
      </c>
      <c r="AA244" t="s">
        <v>58</v>
      </c>
      <c r="AB244" t="s">
        <v>59</v>
      </c>
      <c r="AC244">
        <v>283</v>
      </c>
      <c r="AD244" t="s">
        <v>46</v>
      </c>
      <c r="AE244" t="s">
        <v>60</v>
      </c>
      <c r="AF244" t="s">
        <v>45</v>
      </c>
      <c r="AG244" t="s">
        <v>46</v>
      </c>
      <c r="AH244" t="s">
        <v>61</v>
      </c>
      <c r="AI244" t="s">
        <v>48</v>
      </c>
      <c r="AJ244" t="s">
        <v>62</v>
      </c>
      <c r="AK244" t="s">
        <v>63</v>
      </c>
      <c r="AL244" t="s">
        <v>376</v>
      </c>
      <c r="AM244" t="s">
        <v>46</v>
      </c>
      <c r="AN244" t="s">
        <v>60</v>
      </c>
      <c r="AO244" t="s">
        <v>62</v>
      </c>
      <c r="AP244" t="s">
        <v>563</v>
      </c>
      <c r="AQ244" t="s">
        <v>66</v>
      </c>
      <c r="AR244" t="s">
        <v>67</v>
      </c>
    </row>
    <row r="245" spans="1:44">
      <c r="A245" s="1">
        <v>45427</v>
      </c>
      <c r="B245" s="2">
        <v>0.24445601851851853</v>
      </c>
      <c r="C245" t="s">
        <v>44</v>
      </c>
      <c r="D245" t="s">
        <v>45</v>
      </c>
      <c r="E245">
        <v>0.63600000000000001</v>
      </c>
      <c r="F245" t="s">
        <v>46</v>
      </c>
      <c r="G245" t="s">
        <v>47</v>
      </c>
      <c r="H245" t="s">
        <v>45</v>
      </c>
      <c r="I245">
        <v>0.30980000000000002</v>
      </c>
      <c r="J245" t="s">
        <v>46</v>
      </c>
      <c r="K245" t="s">
        <v>48</v>
      </c>
      <c r="L245" t="s">
        <v>49</v>
      </c>
      <c r="M245" t="s">
        <v>50</v>
      </c>
      <c r="N245" t="s">
        <v>51</v>
      </c>
      <c r="O245">
        <v>3.45</v>
      </c>
      <c r="P245">
        <v>8.26</v>
      </c>
      <c r="Q245" t="s">
        <v>46</v>
      </c>
      <c r="R245" t="s">
        <v>52</v>
      </c>
      <c r="S245" t="s">
        <v>53</v>
      </c>
      <c r="T245" t="s">
        <v>46</v>
      </c>
      <c r="U245" t="s">
        <v>54</v>
      </c>
      <c r="V245" t="s">
        <v>55</v>
      </c>
      <c r="W245" t="s">
        <v>206</v>
      </c>
      <c r="X245" t="s">
        <v>179</v>
      </c>
      <c r="Y245">
        <v>1.4</v>
      </c>
      <c r="Z245" t="s">
        <v>46</v>
      </c>
      <c r="AA245" t="s">
        <v>58</v>
      </c>
      <c r="AB245" t="s">
        <v>59</v>
      </c>
      <c r="AC245">
        <v>283</v>
      </c>
      <c r="AD245" t="s">
        <v>46</v>
      </c>
      <c r="AE245" t="s">
        <v>60</v>
      </c>
      <c r="AF245" t="s">
        <v>45</v>
      </c>
      <c r="AG245" t="s">
        <v>46</v>
      </c>
      <c r="AH245" t="s">
        <v>61</v>
      </c>
      <c r="AI245" t="s">
        <v>48</v>
      </c>
      <c r="AJ245" t="s">
        <v>62</v>
      </c>
      <c r="AK245" t="s">
        <v>63</v>
      </c>
      <c r="AL245" t="s">
        <v>376</v>
      </c>
      <c r="AM245" t="s">
        <v>46</v>
      </c>
      <c r="AN245" t="s">
        <v>60</v>
      </c>
      <c r="AO245" t="s">
        <v>62</v>
      </c>
      <c r="AP245" t="s">
        <v>564</v>
      </c>
      <c r="AQ245" t="s">
        <v>66</v>
      </c>
      <c r="AR245" t="s">
        <v>67</v>
      </c>
    </row>
    <row r="246" spans="1:44">
      <c r="A246" s="1">
        <v>45427</v>
      </c>
      <c r="B246" s="2">
        <v>0.24450231481481483</v>
      </c>
      <c r="C246" t="s">
        <v>44</v>
      </c>
      <c r="D246" t="s">
        <v>45</v>
      </c>
      <c r="E246">
        <v>0.75</v>
      </c>
      <c r="F246" t="s">
        <v>46</v>
      </c>
      <c r="G246" t="s">
        <v>47</v>
      </c>
      <c r="H246" t="s">
        <v>45</v>
      </c>
      <c r="I246">
        <v>0.30990000000000001</v>
      </c>
      <c r="J246" t="s">
        <v>46</v>
      </c>
      <c r="K246" t="s">
        <v>48</v>
      </c>
      <c r="L246" t="s">
        <v>49</v>
      </c>
      <c r="M246" t="s">
        <v>50</v>
      </c>
      <c r="N246" t="s">
        <v>51</v>
      </c>
      <c r="O246">
        <v>3.45</v>
      </c>
      <c r="P246">
        <v>8.26</v>
      </c>
      <c r="Q246" t="s">
        <v>46</v>
      </c>
      <c r="R246" t="s">
        <v>52</v>
      </c>
      <c r="S246" t="s">
        <v>53</v>
      </c>
      <c r="T246" t="s">
        <v>46</v>
      </c>
      <c r="U246" t="s">
        <v>54</v>
      </c>
      <c r="V246" t="s">
        <v>55</v>
      </c>
      <c r="W246" t="s">
        <v>328</v>
      </c>
      <c r="X246" t="s">
        <v>132</v>
      </c>
      <c r="Y246">
        <v>1.39</v>
      </c>
      <c r="Z246" t="s">
        <v>46</v>
      </c>
      <c r="AA246" t="s">
        <v>58</v>
      </c>
      <c r="AB246" t="s">
        <v>59</v>
      </c>
      <c r="AC246">
        <v>282</v>
      </c>
      <c r="AD246" t="s">
        <v>46</v>
      </c>
      <c r="AE246" t="s">
        <v>60</v>
      </c>
      <c r="AF246" t="s">
        <v>45</v>
      </c>
      <c r="AG246" t="s">
        <v>46</v>
      </c>
      <c r="AH246" t="s">
        <v>61</v>
      </c>
      <c r="AI246" t="s">
        <v>48</v>
      </c>
      <c r="AJ246" t="s">
        <v>62</v>
      </c>
      <c r="AK246" t="s">
        <v>63</v>
      </c>
      <c r="AL246" t="s">
        <v>376</v>
      </c>
      <c r="AM246" t="s">
        <v>46</v>
      </c>
      <c r="AN246" t="s">
        <v>60</v>
      </c>
      <c r="AO246" t="s">
        <v>62</v>
      </c>
      <c r="AP246" t="s">
        <v>565</v>
      </c>
      <c r="AQ246" t="s">
        <v>66</v>
      </c>
      <c r="AR246" t="s">
        <v>67</v>
      </c>
    </row>
    <row r="247" spans="1:44">
      <c r="A247" s="1">
        <v>45427</v>
      </c>
      <c r="B247" s="2">
        <v>0.24454861111111112</v>
      </c>
      <c r="C247" t="s">
        <v>44</v>
      </c>
      <c r="D247" t="s">
        <v>45</v>
      </c>
      <c r="E247">
        <v>0.56200000000000006</v>
      </c>
      <c r="F247" t="s">
        <v>46</v>
      </c>
      <c r="G247" t="s">
        <v>47</v>
      </c>
      <c r="H247" t="s">
        <v>45</v>
      </c>
      <c r="I247">
        <v>0.31</v>
      </c>
      <c r="J247" t="s">
        <v>46</v>
      </c>
      <c r="K247" t="s">
        <v>48</v>
      </c>
      <c r="L247" t="s">
        <v>49</v>
      </c>
      <c r="M247" t="s">
        <v>50</v>
      </c>
      <c r="N247" t="s">
        <v>51</v>
      </c>
      <c r="O247">
        <v>3.45</v>
      </c>
      <c r="P247">
        <v>8.26</v>
      </c>
      <c r="Q247" t="s">
        <v>46</v>
      </c>
      <c r="R247" t="s">
        <v>52</v>
      </c>
      <c r="S247" t="s">
        <v>53</v>
      </c>
      <c r="T247" t="s">
        <v>46</v>
      </c>
      <c r="U247" t="s">
        <v>54</v>
      </c>
      <c r="V247" t="s">
        <v>55</v>
      </c>
      <c r="W247" t="s">
        <v>71</v>
      </c>
      <c r="X247" t="s">
        <v>203</v>
      </c>
      <c r="Y247">
        <v>1.4</v>
      </c>
      <c r="Z247" t="s">
        <v>46</v>
      </c>
      <c r="AA247" t="s">
        <v>58</v>
      </c>
      <c r="AB247" t="s">
        <v>59</v>
      </c>
      <c r="AC247">
        <v>282</v>
      </c>
      <c r="AD247" t="s">
        <v>46</v>
      </c>
      <c r="AE247" t="s">
        <v>60</v>
      </c>
      <c r="AF247" t="s">
        <v>45</v>
      </c>
      <c r="AG247" t="s">
        <v>46</v>
      </c>
      <c r="AH247" t="s">
        <v>61</v>
      </c>
      <c r="AI247" t="s">
        <v>48</v>
      </c>
      <c r="AJ247" t="s">
        <v>62</v>
      </c>
      <c r="AK247" t="s">
        <v>63</v>
      </c>
      <c r="AL247" t="s">
        <v>376</v>
      </c>
      <c r="AM247" t="s">
        <v>46</v>
      </c>
      <c r="AN247" t="s">
        <v>60</v>
      </c>
      <c r="AO247" t="s">
        <v>62</v>
      </c>
      <c r="AP247" t="s">
        <v>566</v>
      </c>
      <c r="AQ247" t="s">
        <v>66</v>
      </c>
      <c r="AR247" t="s">
        <v>67</v>
      </c>
    </row>
    <row r="248" spans="1:44">
      <c r="A248" s="1">
        <v>45427</v>
      </c>
      <c r="B248" s="2">
        <v>0.24459490740740741</v>
      </c>
      <c r="C248" t="s">
        <v>44</v>
      </c>
      <c r="D248" t="s">
        <v>45</v>
      </c>
      <c r="E248">
        <v>0.45200000000000001</v>
      </c>
      <c r="F248" t="s">
        <v>46</v>
      </c>
      <c r="G248" t="s">
        <v>47</v>
      </c>
      <c r="H248" t="s">
        <v>45</v>
      </c>
      <c r="I248">
        <v>0.31009999999999999</v>
      </c>
      <c r="J248" t="s">
        <v>46</v>
      </c>
      <c r="K248" t="s">
        <v>48</v>
      </c>
      <c r="L248" t="s">
        <v>49</v>
      </c>
      <c r="M248" t="s">
        <v>50</v>
      </c>
      <c r="N248" t="s">
        <v>51</v>
      </c>
      <c r="O248">
        <v>3.45</v>
      </c>
      <c r="P248">
        <v>8.26</v>
      </c>
      <c r="Q248" t="s">
        <v>46</v>
      </c>
      <c r="R248" t="s">
        <v>52</v>
      </c>
      <c r="S248" t="s">
        <v>53</v>
      </c>
      <c r="T248" t="s">
        <v>46</v>
      </c>
      <c r="U248" t="s">
        <v>54</v>
      </c>
      <c r="V248" t="s">
        <v>55</v>
      </c>
      <c r="W248" t="s">
        <v>340</v>
      </c>
      <c r="X248" t="s">
        <v>132</v>
      </c>
      <c r="Y248">
        <v>1.4</v>
      </c>
      <c r="Z248" t="s">
        <v>46</v>
      </c>
      <c r="AA248" t="s">
        <v>58</v>
      </c>
      <c r="AB248" t="s">
        <v>59</v>
      </c>
      <c r="AC248">
        <v>282</v>
      </c>
      <c r="AD248" t="s">
        <v>46</v>
      </c>
      <c r="AE248" t="s">
        <v>60</v>
      </c>
      <c r="AF248" t="s">
        <v>45</v>
      </c>
      <c r="AG248" t="s">
        <v>46</v>
      </c>
      <c r="AH248" t="s">
        <v>61</v>
      </c>
      <c r="AI248" t="s">
        <v>48</v>
      </c>
      <c r="AJ248" t="s">
        <v>62</v>
      </c>
      <c r="AK248" t="s">
        <v>63</v>
      </c>
      <c r="AL248" t="s">
        <v>376</v>
      </c>
      <c r="AM248" t="s">
        <v>46</v>
      </c>
      <c r="AN248" t="s">
        <v>60</v>
      </c>
      <c r="AO248" t="s">
        <v>62</v>
      </c>
      <c r="AP248" t="s">
        <v>567</v>
      </c>
      <c r="AQ248" t="s">
        <v>66</v>
      </c>
      <c r="AR248" t="s">
        <v>67</v>
      </c>
    </row>
    <row r="249" spans="1:44">
      <c r="A249" s="1">
        <v>45427</v>
      </c>
      <c r="B249" s="2">
        <v>0.24465277777777777</v>
      </c>
      <c r="C249" t="s">
        <v>44</v>
      </c>
      <c r="D249" t="s">
        <v>45</v>
      </c>
      <c r="E249">
        <v>0.97099999999999997</v>
      </c>
      <c r="F249" t="s">
        <v>46</v>
      </c>
      <c r="G249" t="s">
        <v>47</v>
      </c>
      <c r="H249" t="s">
        <v>45</v>
      </c>
      <c r="I249">
        <v>0.31030000000000002</v>
      </c>
      <c r="J249" t="s">
        <v>46</v>
      </c>
      <c r="K249" t="s">
        <v>48</v>
      </c>
      <c r="L249" t="s">
        <v>49</v>
      </c>
      <c r="M249" t="s">
        <v>50</v>
      </c>
      <c r="N249" t="s">
        <v>51</v>
      </c>
      <c r="O249">
        <v>3.45</v>
      </c>
      <c r="P249">
        <v>8.26</v>
      </c>
      <c r="Q249" t="s">
        <v>46</v>
      </c>
      <c r="R249" t="s">
        <v>52</v>
      </c>
      <c r="S249" t="s">
        <v>53</v>
      </c>
      <c r="T249" t="s">
        <v>46</v>
      </c>
      <c r="U249" t="s">
        <v>54</v>
      </c>
      <c r="V249" t="s">
        <v>55</v>
      </c>
      <c r="W249" t="s">
        <v>68</v>
      </c>
      <c r="X249" t="s">
        <v>206</v>
      </c>
      <c r="Y249">
        <v>1.39</v>
      </c>
      <c r="Z249" t="s">
        <v>46</v>
      </c>
      <c r="AA249" t="s">
        <v>58</v>
      </c>
      <c r="AB249" t="s">
        <v>59</v>
      </c>
      <c r="AC249">
        <v>283</v>
      </c>
      <c r="AD249" t="s">
        <v>46</v>
      </c>
      <c r="AE249" t="s">
        <v>60</v>
      </c>
      <c r="AF249" t="s">
        <v>45</v>
      </c>
      <c r="AG249" t="s">
        <v>46</v>
      </c>
      <c r="AH249" t="s">
        <v>61</v>
      </c>
      <c r="AI249" t="s">
        <v>48</v>
      </c>
      <c r="AJ249" t="s">
        <v>62</v>
      </c>
      <c r="AK249" t="s">
        <v>63</v>
      </c>
      <c r="AL249" t="s">
        <v>376</v>
      </c>
      <c r="AM249" t="s">
        <v>46</v>
      </c>
      <c r="AN249" t="s">
        <v>60</v>
      </c>
      <c r="AO249" t="s">
        <v>62</v>
      </c>
      <c r="AP249" t="s">
        <v>568</v>
      </c>
      <c r="AQ249" t="s">
        <v>66</v>
      </c>
      <c r="AR249" t="s">
        <v>67</v>
      </c>
    </row>
    <row r="250" spans="1:44">
      <c r="A250" s="1">
        <v>45427</v>
      </c>
      <c r="B250" s="2">
        <v>0.24469907407407407</v>
      </c>
      <c r="C250" t="s">
        <v>44</v>
      </c>
      <c r="D250" t="s">
        <v>45</v>
      </c>
      <c r="E250">
        <v>0.55900000000000005</v>
      </c>
      <c r="F250" t="s">
        <v>46</v>
      </c>
      <c r="G250" t="s">
        <v>47</v>
      </c>
      <c r="H250" t="s">
        <v>45</v>
      </c>
      <c r="I250">
        <v>0.30919999999999997</v>
      </c>
      <c r="J250" t="s">
        <v>46</v>
      </c>
      <c r="K250" t="s">
        <v>48</v>
      </c>
      <c r="L250" t="s">
        <v>49</v>
      </c>
      <c r="M250" t="s">
        <v>50</v>
      </c>
      <c r="N250" t="s">
        <v>51</v>
      </c>
      <c r="O250">
        <v>3.45</v>
      </c>
      <c r="P250">
        <v>8.26</v>
      </c>
      <c r="Q250" t="s">
        <v>46</v>
      </c>
      <c r="R250" t="s">
        <v>52</v>
      </c>
      <c r="S250" t="s">
        <v>53</v>
      </c>
      <c r="T250" t="s">
        <v>46</v>
      </c>
      <c r="U250" t="s">
        <v>54</v>
      </c>
      <c r="V250" t="s">
        <v>55</v>
      </c>
      <c r="W250" t="s">
        <v>68</v>
      </c>
      <c r="X250" t="s">
        <v>206</v>
      </c>
      <c r="Y250">
        <v>1.39</v>
      </c>
      <c r="Z250" t="s">
        <v>46</v>
      </c>
      <c r="AA250" t="s">
        <v>58</v>
      </c>
      <c r="AB250" t="s">
        <v>59</v>
      </c>
      <c r="AC250">
        <v>282</v>
      </c>
      <c r="AD250" t="s">
        <v>46</v>
      </c>
      <c r="AE250" t="s">
        <v>60</v>
      </c>
      <c r="AF250" t="s">
        <v>45</v>
      </c>
      <c r="AG250" t="s">
        <v>46</v>
      </c>
      <c r="AH250" t="s">
        <v>61</v>
      </c>
      <c r="AI250" t="s">
        <v>48</v>
      </c>
      <c r="AJ250" t="s">
        <v>62</v>
      </c>
      <c r="AK250" t="s">
        <v>63</v>
      </c>
      <c r="AL250" t="s">
        <v>376</v>
      </c>
      <c r="AM250" t="s">
        <v>46</v>
      </c>
      <c r="AN250" t="s">
        <v>60</v>
      </c>
      <c r="AO250" t="s">
        <v>62</v>
      </c>
      <c r="AP250" t="s">
        <v>569</v>
      </c>
      <c r="AQ250" t="s">
        <v>66</v>
      </c>
      <c r="AR250" t="s">
        <v>67</v>
      </c>
    </row>
    <row r="251" spans="1:44">
      <c r="A251" s="1">
        <v>45427</v>
      </c>
      <c r="B251" s="2">
        <v>0.24474537037037036</v>
      </c>
      <c r="C251" t="s">
        <v>44</v>
      </c>
      <c r="D251" t="s">
        <v>45</v>
      </c>
      <c r="E251">
        <v>0.59399999999999997</v>
      </c>
      <c r="F251" t="s">
        <v>46</v>
      </c>
      <c r="G251" t="s">
        <v>47</v>
      </c>
      <c r="H251" t="s">
        <v>45</v>
      </c>
      <c r="I251">
        <v>0.30980000000000002</v>
      </c>
      <c r="J251" t="s">
        <v>46</v>
      </c>
      <c r="K251" t="s">
        <v>48</v>
      </c>
      <c r="L251" t="s">
        <v>49</v>
      </c>
      <c r="M251" t="s">
        <v>50</v>
      </c>
      <c r="N251" t="s">
        <v>51</v>
      </c>
      <c r="O251">
        <v>3.45</v>
      </c>
      <c r="P251">
        <v>8.26</v>
      </c>
      <c r="Q251" t="s">
        <v>46</v>
      </c>
      <c r="R251" t="s">
        <v>52</v>
      </c>
      <c r="S251" t="s">
        <v>53</v>
      </c>
      <c r="T251" t="s">
        <v>46</v>
      </c>
      <c r="U251" t="s">
        <v>54</v>
      </c>
      <c r="V251" t="s">
        <v>55</v>
      </c>
      <c r="W251" t="s">
        <v>330</v>
      </c>
      <c r="X251" t="s">
        <v>206</v>
      </c>
      <c r="Y251">
        <v>1.39</v>
      </c>
      <c r="Z251" t="s">
        <v>46</v>
      </c>
      <c r="AA251" t="s">
        <v>58</v>
      </c>
      <c r="AB251" t="s">
        <v>59</v>
      </c>
      <c r="AC251">
        <v>284</v>
      </c>
      <c r="AD251" t="s">
        <v>46</v>
      </c>
      <c r="AE251" t="s">
        <v>60</v>
      </c>
      <c r="AF251" t="s">
        <v>45</v>
      </c>
      <c r="AG251" t="s">
        <v>46</v>
      </c>
      <c r="AH251" t="s">
        <v>61</v>
      </c>
      <c r="AI251" t="s">
        <v>48</v>
      </c>
      <c r="AJ251" t="s">
        <v>62</v>
      </c>
      <c r="AK251" t="s">
        <v>63</v>
      </c>
      <c r="AL251" t="s">
        <v>376</v>
      </c>
      <c r="AM251" t="s">
        <v>46</v>
      </c>
      <c r="AN251" t="s">
        <v>60</v>
      </c>
      <c r="AO251" t="s">
        <v>62</v>
      </c>
      <c r="AP251" t="s">
        <v>570</v>
      </c>
      <c r="AQ251" t="s">
        <v>66</v>
      </c>
      <c r="AR251" t="s">
        <v>67</v>
      </c>
    </row>
    <row r="252" spans="1:44">
      <c r="A252" s="1">
        <v>45427</v>
      </c>
      <c r="B252" s="2">
        <v>0.24479166666666666</v>
      </c>
      <c r="C252" t="s">
        <v>44</v>
      </c>
      <c r="D252" t="s">
        <v>45</v>
      </c>
      <c r="E252">
        <v>0.72699999999999998</v>
      </c>
      <c r="F252" t="s">
        <v>46</v>
      </c>
      <c r="G252" t="s">
        <v>47</v>
      </c>
      <c r="H252" t="s">
        <v>45</v>
      </c>
      <c r="I252">
        <v>0.30980000000000002</v>
      </c>
      <c r="J252" t="s">
        <v>46</v>
      </c>
      <c r="K252" t="s">
        <v>48</v>
      </c>
      <c r="L252" t="s">
        <v>49</v>
      </c>
      <c r="M252" t="s">
        <v>50</v>
      </c>
      <c r="N252" t="s">
        <v>51</v>
      </c>
      <c r="O252">
        <v>3.45</v>
      </c>
      <c r="P252">
        <v>8.26</v>
      </c>
      <c r="Q252" t="s">
        <v>46</v>
      </c>
      <c r="R252" t="s">
        <v>52</v>
      </c>
      <c r="S252" t="s">
        <v>53</v>
      </c>
      <c r="T252" t="s">
        <v>46</v>
      </c>
      <c r="U252" t="s">
        <v>54</v>
      </c>
      <c r="V252" t="s">
        <v>55</v>
      </c>
      <c r="W252" t="s">
        <v>152</v>
      </c>
      <c r="X252" t="s">
        <v>56</v>
      </c>
      <c r="Y252">
        <v>1.39</v>
      </c>
      <c r="Z252" t="s">
        <v>46</v>
      </c>
      <c r="AA252" t="s">
        <v>58</v>
      </c>
      <c r="AB252" t="s">
        <v>59</v>
      </c>
      <c r="AC252">
        <v>282</v>
      </c>
      <c r="AD252" t="s">
        <v>46</v>
      </c>
      <c r="AE252" t="s">
        <v>60</v>
      </c>
      <c r="AF252" t="s">
        <v>45</v>
      </c>
      <c r="AG252" t="s">
        <v>46</v>
      </c>
      <c r="AH252" t="s">
        <v>61</v>
      </c>
      <c r="AI252" t="s">
        <v>48</v>
      </c>
      <c r="AJ252" t="s">
        <v>62</v>
      </c>
      <c r="AK252" t="s">
        <v>63</v>
      </c>
      <c r="AL252" t="s">
        <v>376</v>
      </c>
      <c r="AM252" t="s">
        <v>46</v>
      </c>
      <c r="AN252" t="s">
        <v>60</v>
      </c>
      <c r="AO252" t="s">
        <v>62</v>
      </c>
      <c r="AP252" t="s">
        <v>571</v>
      </c>
      <c r="AQ252" t="s">
        <v>66</v>
      </c>
      <c r="AR252" t="s">
        <v>67</v>
      </c>
    </row>
    <row r="253" spans="1:44">
      <c r="A253" s="1">
        <v>45427</v>
      </c>
      <c r="B253" s="2">
        <v>0.24484953703703705</v>
      </c>
      <c r="C253" t="s">
        <v>44</v>
      </c>
      <c r="D253" t="s">
        <v>45</v>
      </c>
      <c r="E253">
        <v>0.53100000000000003</v>
      </c>
      <c r="F253" t="s">
        <v>46</v>
      </c>
      <c r="G253" t="s">
        <v>47</v>
      </c>
      <c r="H253" t="s">
        <v>45</v>
      </c>
      <c r="I253">
        <v>0.30980000000000002</v>
      </c>
      <c r="J253" t="s">
        <v>46</v>
      </c>
      <c r="K253" t="s">
        <v>48</v>
      </c>
      <c r="L253" t="s">
        <v>49</v>
      </c>
      <c r="M253" t="s">
        <v>50</v>
      </c>
      <c r="N253" t="s">
        <v>51</v>
      </c>
      <c r="O253">
        <v>3.45</v>
      </c>
      <c r="P253">
        <v>8.26</v>
      </c>
      <c r="Q253" t="s">
        <v>46</v>
      </c>
      <c r="R253" t="s">
        <v>52</v>
      </c>
      <c r="S253" t="s">
        <v>53</v>
      </c>
      <c r="T253" t="s">
        <v>46</v>
      </c>
      <c r="U253" t="s">
        <v>54</v>
      </c>
      <c r="V253" t="s">
        <v>55</v>
      </c>
      <c r="W253" t="s">
        <v>297</v>
      </c>
      <c r="X253" t="s">
        <v>74</v>
      </c>
      <c r="Y253">
        <v>1.39</v>
      </c>
      <c r="Z253" t="s">
        <v>46</v>
      </c>
      <c r="AA253" t="s">
        <v>58</v>
      </c>
      <c r="AB253" t="s">
        <v>59</v>
      </c>
      <c r="AC253">
        <v>282</v>
      </c>
      <c r="AD253" t="s">
        <v>46</v>
      </c>
      <c r="AE253" t="s">
        <v>60</v>
      </c>
      <c r="AF253" t="s">
        <v>45</v>
      </c>
      <c r="AG253" t="s">
        <v>46</v>
      </c>
      <c r="AH253" t="s">
        <v>61</v>
      </c>
      <c r="AI253" t="s">
        <v>48</v>
      </c>
      <c r="AJ253" t="s">
        <v>62</v>
      </c>
      <c r="AK253" t="s">
        <v>63</v>
      </c>
      <c r="AL253" t="s">
        <v>376</v>
      </c>
      <c r="AM253" t="s">
        <v>46</v>
      </c>
      <c r="AN253" t="s">
        <v>60</v>
      </c>
      <c r="AO253" t="s">
        <v>62</v>
      </c>
      <c r="AP253" t="s">
        <v>572</v>
      </c>
      <c r="AQ253" t="s">
        <v>66</v>
      </c>
      <c r="AR253" t="s">
        <v>67</v>
      </c>
    </row>
    <row r="254" spans="1:44">
      <c r="A254" s="1">
        <v>45427</v>
      </c>
      <c r="B254" s="2">
        <v>0.24489583333333334</v>
      </c>
      <c r="C254" t="s">
        <v>44</v>
      </c>
      <c r="D254" t="s">
        <v>45</v>
      </c>
      <c r="E254">
        <v>0.55900000000000005</v>
      </c>
      <c r="F254" t="s">
        <v>46</v>
      </c>
      <c r="G254" t="s">
        <v>47</v>
      </c>
      <c r="H254" t="s">
        <v>45</v>
      </c>
      <c r="I254">
        <v>0.30969999999999998</v>
      </c>
      <c r="J254" t="s">
        <v>46</v>
      </c>
      <c r="K254" t="s">
        <v>48</v>
      </c>
      <c r="L254" t="s">
        <v>49</v>
      </c>
      <c r="M254" t="s">
        <v>50</v>
      </c>
      <c r="N254" t="s">
        <v>51</v>
      </c>
      <c r="O254">
        <v>3.45</v>
      </c>
      <c r="P254">
        <v>8.26</v>
      </c>
      <c r="Q254" t="s">
        <v>46</v>
      </c>
      <c r="R254" t="s">
        <v>52</v>
      </c>
      <c r="S254" t="s">
        <v>53</v>
      </c>
      <c r="T254" t="s">
        <v>46</v>
      </c>
      <c r="U254" t="s">
        <v>54</v>
      </c>
      <c r="V254" t="s">
        <v>55</v>
      </c>
      <c r="W254" t="s">
        <v>300</v>
      </c>
      <c r="X254" t="s">
        <v>498</v>
      </c>
      <c r="Y254">
        <v>1.38</v>
      </c>
      <c r="Z254" t="s">
        <v>46</v>
      </c>
      <c r="AA254" t="s">
        <v>58</v>
      </c>
      <c r="AB254" t="s">
        <v>59</v>
      </c>
      <c r="AC254">
        <v>282</v>
      </c>
      <c r="AD254" t="s">
        <v>46</v>
      </c>
      <c r="AE254" t="s">
        <v>60</v>
      </c>
      <c r="AF254" t="s">
        <v>45</v>
      </c>
      <c r="AG254" t="s">
        <v>46</v>
      </c>
      <c r="AH254" t="s">
        <v>61</v>
      </c>
      <c r="AI254" t="s">
        <v>48</v>
      </c>
      <c r="AJ254" t="s">
        <v>62</v>
      </c>
      <c r="AK254" t="s">
        <v>63</v>
      </c>
      <c r="AL254" t="s">
        <v>376</v>
      </c>
      <c r="AM254" t="s">
        <v>46</v>
      </c>
      <c r="AN254" t="s">
        <v>60</v>
      </c>
      <c r="AO254" t="s">
        <v>62</v>
      </c>
      <c r="AP254" t="s">
        <v>573</v>
      </c>
      <c r="AQ254" t="s">
        <v>66</v>
      </c>
      <c r="AR254" t="s">
        <v>67</v>
      </c>
    </row>
    <row r="255" spans="1:44">
      <c r="A255" s="1">
        <v>45427</v>
      </c>
      <c r="B255" s="2">
        <v>0.24494212962962963</v>
      </c>
      <c r="C255" t="s">
        <v>44</v>
      </c>
      <c r="D255" t="s">
        <v>45</v>
      </c>
      <c r="E255">
        <v>0.75800000000000001</v>
      </c>
      <c r="F255" t="s">
        <v>46</v>
      </c>
      <c r="G255" t="s">
        <v>47</v>
      </c>
      <c r="H255" t="s">
        <v>45</v>
      </c>
      <c r="I255">
        <v>0.30969999999999998</v>
      </c>
      <c r="J255" t="s">
        <v>46</v>
      </c>
      <c r="K255" t="s">
        <v>48</v>
      </c>
      <c r="L255" t="s">
        <v>49</v>
      </c>
      <c r="M255" t="s">
        <v>50</v>
      </c>
      <c r="N255" t="s">
        <v>51</v>
      </c>
      <c r="O255">
        <v>3.45</v>
      </c>
      <c r="P255">
        <v>8.26</v>
      </c>
      <c r="Q255" t="s">
        <v>46</v>
      </c>
      <c r="R255" t="s">
        <v>52</v>
      </c>
      <c r="S255" t="s">
        <v>53</v>
      </c>
      <c r="T255" t="s">
        <v>46</v>
      </c>
      <c r="U255" t="s">
        <v>54</v>
      </c>
      <c r="V255" t="s">
        <v>55</v>
      </c>
      <c r="W255" t="s">
        <v>85</v>
      </c>
      <c r="X255" t="s">
        <v>498</v>
      </c>
      <c r="Y255">
        <v>1.38</v>
      </c>
      <c r="Z255" t="s">
        <v>46</v>
      </c>
      <c r="AA255" t="s">
        <v>58</v>
      </c>
      <c r="AB255" t="s">
        <v>59</v>
      </c>
      <c r="AC255">
        <v>283</v>
      </c>
      <c r="AD255" t="s">
        <v>46</v>
      </c>
      <c r="AE255" t="s">
        <v>60</v>
      </c>
      <c r="AF255" t="s">
        <v>45</v>
      </c>
      <c r="AG255" t="s">
        <v>46</v>
      </c>
      <c r="AH255" t="s">
        <v>61</v>
      </c>
      <c r="AI255" t="s">
        <v>48</v>
      </c>
      <c r="AJ255" t="s">
        <v>62</v>
      </c>
      <c r="AK255" t="s">
        <v>63</v>
      </c>
      <c r="AL255" t="s">
        <v>376</v>
      </c>
      <c r="AM255" t="s">
        <v>46</v>
      </c>
      <c r="AN255" t="s">
        <v>60</v>
      </c>
      <c r="AO255" t="s">
        <v>62</v>
      </c>
      <c r="AP255" t="s">
        <v>574</v>
      </c>
      <c r="AQ255" t="s">
        <v>66</v>
      </c>
      <c r="AR255" t="s">
        <v>67</v>
      </c>
    </row>
    <row r="256" spans="1:44">
      <c r="A256" s="1">
        <v>45427</v>
      </c>
      <c r="B256" s="2">
        <v>0.24498842592592593</v>
      </c>
      <c r="C256" t="s">
        <v>44</v>
      </c>
      <c r="D256" t="s">
        <v>45</v>
      </c>
      <c r="E256">
        <v>0.54500000000000004</v>
      </c>
      <c r="F256" t="s">
        <v>46</v>
      </c>
      <c r="G256" t="s">
        <v>47</v>
      </c>
      <c r="H256" t="s">
        <v>45</v>
      </c>
      <c r="I256">
        <v>0.30990000000000001</v>
      </c>
      <c r="J256" t="s">
        <v>46</v>
      </c>
      <c r="K256" t="s">
        <v>48</v>
      </c>
      <c r="L256" t="s">
        <v>49</v>
      </c>
      <c r="M256" t="s">
        <v>50</v>
      </c>
      <c r="N256" t="s">
        <v>51</v>
      </c>
      <c r="O256">
        <v>3.45</v>
      </c>
      <c r="P256">
        <v>8.26</v>
      </c>
      <c r="Q256" t="s">
        <v>46</v>
      </c>
      <c r="R256" t="s">
        <v>52</v>
      </c>
      <c r="S256" t="s">
        <v>53</v>
      </c>
      <c r="T256" t="s">
        <v>46</v>
      </c>
      <c r="U256" t="s">
        <v>54</v>
      </c>
      <c r="V256" t="s">
        <v>55</v>
      </c>
      <c r="W256" t="s">
        <v>88</v>
      </c>
      <c r="X256" t="s">
        <v>213</v>
      </c>
      <c r="Y256">
        <v>1.38</v>
      </c>
      <c r="Z256" t="s">
        <v>46</v>
      </c>
      <c r="AA256" t="s">
        <v>58</v>
      </c>
      <c r="AB256" t="s">
        <v>59</v>
      </c>
      <c r="AC256">
        <v>283</v>
      </c>
      <c r="AD256" t="s">
        <v>46</v>
      </c>
      <c r="AE256" t="s">
        <v>60</v>
      </c>
      <c r="AF256" t="s">
        <v>45</v>
      </c>
      <c r="AG256" t="s">
        <v>46</v>
      </c>
      <c r="AH256" t="s">
        <v>61</v>
      </c>
      <c r="AI256" t="s">
        <v>48</v>
      </c>
      <c r="AJ256" t="s">
        <v>62</v>
      </c>
      <c r="AK256" t="s">
        <v>63</v>
      </c>
      <c r="AL256" t="s">
        <v>376</v>
      </c>
      <c r="AM256" t="s">
        <v>46</v>
      </c>
      <c r="AN256" t="s">
        <v>60</v>
      </c>
      <c r="AO256" t="s">
        <v>62</v>
      </c>
      <c r="AP256" t="s">
        <v>575</v>
      </c>
      <c r="AQ256" t="s">
        <v>66</v>
      </c>
      <c r="AR256" t="s">
        <v>67</v>
      </c>
    </row>
    <row r="257" spans="1:44">
      <c r="A257" s="1">
        <v>45427</v>
      </c>
      <c r="B257" s="2">
        <v>0.24504629629629629</v>
      </c>
      <c r="C257" t="s">
        <v>44</v>
      </c>
      <c r="D257" t="s">
        <v>45</v>
      </c>
      <c r="E257">
        <v>0.5</v>
      </c>
      <c r="F257" t="s">
        <v>46</v>
      </c>
      <c r="G257" t="s">
        <v>47</v>
      </c>
      <c r="H257" t="s">
        <v>45</v>
      </c>
      <c r="I257">
        <v>0.30990000000000001</v>
      </c>
      <c r="J257" t="s">
        <v>46</v>
      </c>
      <c r="K257" t="s">
        <v>48</v>
      </c>
      <c r="L257" t="s">
        <v>49</v>
      </c>
      <c r="M257" t="s">
        <v>50</v>
      </c>
      <c r="N257" t="s">
        <v>51</v>
      </c>
      <c r="O257">
        <v>3.45</v>
      </c>
      <c r="P257">
        <v>8.26</v>
      </c>
      <c r="Q257" t="s">
        <v>46</v>
      </c>
      <c r="R257" t="s">
        <v>52</v>
      </c>
      <c r="S257" t="s">
        <v>53</v>
      </c>
      <c r="T257" t="s">
        <v>46</v>
      </c>
      <c r="U257" t="s">
        <v>54</v>
      </c>
      <c r="V257" t="s">
        <v>55</v>
      </c>
      <c r="W257" t="s">
        <v>88</v>
      </c>
      <c r="X257" t="s">
        <v>213</v>
      </c>
      <c r="Y257">
        <v>1.38</v>
      </c>
      <c r="Z257" t="s">
        <v>46</v>
      </c>
      <c r="AA257" t="s">
        <v>58</v>
      </c>
      <c r="AB257" t="s">
        <v>59</v>
      </c>
      <c r="AC257">
        <v>283</v>
      </c>
      <c r="AD257" t="s">
        <v>46</v>
      </c>
      <c r="AE257" t="s">
        <v>60</v>
      </c>
      <c r="AF257" t="s">
        <v>45</v>
      </c>
      <c r="AG257" t="s">
        <v>46</v>
      </c>
      <c r="AH257" t="s">
        <v>61</v>
      </c>
      <c r="AI257" t="s">
        <v>48</v>
      </c>
      <c r="AJ257" t="s">
        <v>62</v>
      </c>
      <c r="AK257" t="s">
        <v>63</v>
      </c>
      <c r="AL257" t="s">
        <v>376</v>
      </c>
      <c r="AM257" t="s">
        <v>46</v>
      </c>
      <c r="AN257" t="s">
        <v>60</v>
      </c>
      <c r="AO257" t="s">
        <v>62</v>
      </c>
      <c r="AP257" t="s">
        <v>576</v>
      </c>
      <c r="AQ257" t="s">
        <v>66</v>
      </c>
      <c r="AR257" t="s">
        <v>67</v>
      </c>
    </row>
    <row r="258" spans="1:44">
      <c r="A258" s="1">
        <v>45427</v>
      </c>
      <c r="B258" s="2">
        <v>0.24509259259259258</v>
      </c>
      <c r="C258" t="s">
        <v>44</v>
      </c>
      <c r="D258" t="s">
        <v>45</v>
      </c>
      <c r="E258">
        <v>0.75800000000000001</v>
      </c>
      <c r="F258" t="s">
        <v>46</v>
      </c>
      <c r="G258" t="s">
        <v>47</v>
      </c>
      <c r="H258" t="s">
        <v>45</v>
      </c>
      <c r="I258">
        <v>0.30959999999999999</v>
      </c>
      <c r="J258" t="s">
        <v>46</v>
      </c>
      <c r="K258" t="s">
        <v>48</v>
      </c>
      <c r="L258" t="s">
        <v>49</v>
      </c>
      <c r="M258" t="s">
        <v>50</v>
      </c>
      <c r="N258" t="s">
        <v>51</v>
      </c>
      <c r="O258">
        <v>3.45</v>
      </c>
      <c r="P258">
        <v>8.26</v>
      </c>
      <c r="Q258" t="s">
        <v>46</v>
      </c>
      <c r="R258" t="s">
        <v>52</v>
      </c>
      <c r="S258" t="s">
        <v>53</v>
      </c>
      <c r="T258" t="s">
        <v>46</v>
      </c>
      <c r="U258" t="s">
        <v>54</v>
      </c>
      <c r="V258" t="s">
        <v>55</v>
      </c>
      <c r="W258" t="s">
        <v>297</v>
      </c>
      <c r="X258" t="s">
        <v>498</v>
      </c>
      <c r="Y258">
        <v>1.38</v>
      </c>
      <c r="Z258" t="s">
        <v>46</v>
      </c>
      <c r="AA258" t="s">
        <v>58</v>
      </c>
      <c r="AB258" t="s">
        <v>59</v>
      </c>
      <c r="AC258">
        <v>283</v>
      </c>
      <c r="AD258" t="s">
        <v>46</v>
      </c>
      <c r="AE258" t="s">
        <v>60</v>
      </c>
      <c r="AF258" t="s">
        <v>45</v>
      </c>
      <c r="AG258" t="s">
        <v>46</v>
      </c>
      <c r="AH258" t="s">
        <v>61</v>
      </c>
      <c r="AI258" t="s">
        <v>48</v>
      </c>
      <c r="AJ258" t="s">
        <v>62</v>
      </c>
      <c r="AK258" t="s">
        <v>63</v>
      </c>
      <c r="AL258" t="s">
        <v>376</v>
      </c>
      <c r="AM258" t="s">
        <v>46</v>
      </c>
      <c r="AN258" t="s">
        <v>60</v>
      </c>
      <c r="AO258" t="s">
        <v>62</v>
      </c>
      <c r="AP258" t="s">
        <v>577</v>
      </c>
      <c r="AQ258" t="s">
        <v>66</v>
      </c>
      <c r="AR258" t="s">
        <v>67</v>
      </c>
    </row>
    <row r="259" spans="1:44">
      <c r="A259" s="1">
        <v>45427</v>
      </c>
      <c r="B259" s="2">
        <v>0.24513888888888888</v>
      </c>
      <c r="C259" t="s">
        <v>44</v>
      </c>
      <c r="D259" t="s">
        <v>45</v>
      </c>
      <c r="E259">
        <v>0.48399999999999999</v>
      </c>
      <c r="F259" t="s">
        <v>46</v>
      </c>
      <c r="G259" t="s">
        <v>47</v>
      </c>
      <c r="H259" t="s">
        <v>45</v>
      </c>
      <c r="I259">
        <v>0.30980000000000002</v>
      </c>
      <c r="J259" t="s">
        <v>46</v>
      </c>
      <c r="K259" t="s">
        <v>48</v>
      </c>
      <c r="L259" t="s">
        <v>49</v>
      </c>
      <c r="M259" t="s">
        <v>50</v>
      </c>
      <c r="N259" t="s">
        <v>51</v>
      </c>
      <c r="O259">
        <v>3.45</v>
      </c>
      <c r="P259">
        <v>8.26</v>
      </c>
      <c r="Q259" t="s">
        <v>46</v>
      </c>
      <c r="R259" t="s">
        <v>52</v>
      </c>
      <c r="S259" t="s">
        <v>53</v>
      </c>
      <c r="T259" t="s">
        <v>46</v>
      </c>
      <c r="U259" t="s">
        <v>54</v>
      </c>
      <c r="V259" t="s">
        <v>55</v>
      </c>
      <c r="W259" t="s">
        <v>300</v>
      </c>
      <c r="X259" t="s">
        <v>213</v>
      </c>
      <c r="Y259">
        <v>1.38</v>
      </c>
      <c r="Z259" t="s">
        <v>46</v>
      </c>
      <c r="AA259" t="s">
        <v>58</v>
      </c>
      <c r="AB259" t="s">
        <v>59</v>
      </c>
      <c r="AC259">
        <v>283</v>
      </c>
      <c r="AD259" t="s">
        <v>46</v>
      </c>
      <c r="AE259" t="s">
        <v>60</v>
      </c>
      <c r="AF259" t="s">
        <v>45</v>
      </c>
      <c r="AG259" t="s">
        <v>46</v>
      </c>
      <c r="AH259" t="s">
        <v>61</v>
      </c>
      <c r="AI259" t="s">
        <v>48</v>
      </c>
      <c r="AJ259" t="s">
        <v>62</v>
      </c>
      <c r="AK259" t="s">
        <v>63</v>
      </c>
      <c r="AL259" t="s">
        <v>376</v>
      </c>
      <c r="AM259" t="s">
        <v>46</v>
      </c>
      <c r="AN259" t="s">
        <v>60</v>
      </c>
      <c r="AO259" t="s">
        <v>62</v>
      </c>
      <c r="AP259" t="s">
        <v>578</v>
      </c>
      <c r="AQ259" t="s">
        <v>66</v>
      </c>
      <c r="AR259" t="s">
        <v>67</v>
      </c>
    </row>
    <row r="260" spans="1:44">
      <c r="A260" s="1">
        <v>45427</v>
      </c>
      <c r="B260" s="2">
        <v>0.24518518518518517</v>
      </c>
      <c r="C260" t="s">
        <v>44</v>
      </c>
      <c r="D260" t="s">
        <v>45</v>
      </c>
      <c r="E260">
        <v>0.71899999999999997</v>
      </c>
      <c r="F260" t="s">
        <v>46</v>
      </c>
      <c r="G260" t="s">
        <v>47</v>
      </c>
      <c r="H260" t="s">
        <v>45</v>
      </c>
      <c r="I260">
        <v>0.31</v>
      </c>
      <c r="J260" t="s">
        <v>46</v>
      </c>
      <c r="K260" t="s">
        <v>48</v>
      </c>
      <c r="L260" t="s">
        <v>49</v>
      </c>
      <c r="M260" t="s">
        <v>50</v>
      </c>
      <c r="N260" t="s">
        <v>51</v>
      </c>
      <c r="O260">
        <v>3.45</v>
      </c>
      <c r="P260">
        <v>8.26</v>
      </c>
      <c r="Q260" t="s">
        <v>46</v>
      </c>
      <c r="R260" t="s">
        <v>52</v>
      </c>
      <c r="S260" t="s">
        <v>53</v>
      </c>
      <c r="T260" t="s">
        <v>46</v>
      </c>
      <c r="U260" t="s">
        <v>54</v>
      </c>
      <c r="V260" t="s">
        <v>55</v>
      </c>
      <c r="W260" t="s">
        <v>85</v>
      </c>
      <c r="X260" t="s">
        <v>192</v>
      </c>
      <c r="Y260">
        <v>1.38</v>
      </c>
      <c r="Z260" t="s">
        <v>46</v>
      </c>
      <c r="AA260" t="s">
        <v>58</v>
      </c>
      <c r="AB260" t="s">
        <v>59</v>
      </c>
      <c r="AC260">
        <v>284</v>
      </c>
      <c r="AD260" t="s">
        <v>46</v>
      </c>
      <c r="AE260" t="s">
        <v>60</v>
      </c>
      <c r="AF260" t="s">
        <v>45</v>
      </c>
      <c r="AG260" t="s">
        <v>46</v>
      </c>
      <c r="AH260" t="s">
        <v>61</v>
      </c>
      <c r="AI260" t="s">
        <v>48</v>
      </c>
      <c r="AJ260" t="s">
        <v>62</v>
      </c>
      <c r="AK260" t="s">
        <v>63</v>
      </c>
      <c r="AL260" t="s">
        <v>376</v>
      </c>
      <c r="AM260" t="s">
        <v>46</v>
      </c>
      <c r="AN260" t="s">
        <v>60</v>
      </c>
      <c r="AO260" t="s">
        <v>62</v>
      </c>
      <c r="AP260" t="s">
        <v>579</v>
      </c>
      <c r="AQ260" t="s">
        <v>66</v>
      </c>
      <c r="AR260" t="s">
        <v>67</v>
      </c>
    </row>
    <row r="261" spans="1:44">
      <c r="A261" s="1">
        <v>45427</v>
      </c>
      <c r="B261" s="2">
        <v>0.24524305555555556</v>
      </c>
      <c r="C261" t="s">
        <v>44</v>
      </c>
      <c r="D261" t="s">
        <v>45</v>
      </c>
      <c r="E261">
        <v>0.68799999999999994</v>
      </c>
      <c r="F261" t="s">
        <v>46</v>
      </c>
      <c r="G261" t="s">
        <v>47</v>
      </c>
      <c r="H261" t="s">
        <v>45</v>
      </c>
      <c r="I261">
        <v>0.31</v>
      </c>
      <c r="J261" t="s">
        <v>46</v>
      </c>
      <c r="K261" t="s">
        <v>48</v>
      </c>
      <c r="L261" t="s">
        <v>49</v>
      </c>
      <c r="M261" t="s">
        <v>50</v>
      </c>
      <c r="N261" t="s">
        <v>51</v>
      </c>
      <c r="O261">
        <v>3.45</v>
      </c>
      <c r="P261">
        <v>8.26</v>
      </c>
      <c r="Q261" t="s">
        <v>46</v>
      </c>
      <c r="R261" t="s">
        <v>52</v>
      </c>
      <c r="S261" t="s">
        <v>53</v>
      </c>
      <c r="T261" t="s">
        <v>46</v>
      </c>
      <c r="U261" t="s">
        <v>54</v>
      </c>
      <c r="V261" t="s">
        <v>55</v>
      </c>
      <c r="W261" t="s">
        <v>333</v>
      </c>
      <c r="X261" t="s">
        <v>74</v>
      </c>
      <c r="Y261">
        <v>1.39</v>
      </c>
      <c r="Z261" t="s">
        <v>46</v>
      </c>
      <c r="AA261" t="s">
        <v>58</v>
      </c>
      <c r="AB261" t="s">
        <v>59</v>
      </c>
      <c r="AC261">
        <v>283</v>
      </c>
      <c r="AD261" t="s">
        <v>46</v>
      </c>
      <c r="AE261" t="s">
        <v>60</v>
      </c>
      <c r="AF261" t="s">
        <v>45</v>
      </c>
      <c r="AG261" t="s">
        <v>46</v>
      </c>
      <c r="AH261" t="s">
        <v>61</v>
      </c>
      <c r="AI261" t="s">
        <v>48</v>
      </c>
      <c r="AJ261" t="s">
        <v>62</v>
      </c>
      <c r="AK261" t="s">
        <v>63</v>
      </c>
      <c r="AL261" t="s">
        <v>376</v>
      </c>
      <c r="AM261" t="s">
        <v>46</v>
      </c>
      <c r="AN261" t="s">
        <v>60</v>
      </c>
      <c r="AO261" t="s">
        <v>62</v>
      </c>
      <c r="AP261" t="s">
        <v>580</v>
      </c>
      <c r="AQ261" t="s">
        <v>66</v>
      </c>
      <c r="AR261" t="s">
        <v>67</v>
      </c>
    </row>
    <row r="262" spans="1:44">
      <c r="A262" s="1">
        <v>45427</v>
      </c>
      <c r="B262" s="2">
        <v>0.24528935185185186</v>
      </c>
      <c r="C262" t="s">
        <v>44</v>
      </c>
      <c r="D262" t="s">
        <v>45</v>
      </c>
      <c r="E262">
        <v>0.46899999999999997</v>
      </c>
      <c r="F262" t="s">
        <v>46</v>
      </c>
      <c r="G262" t="s">
        <v>47</v>
      </c>
      <c r="H262" t="s">
        <v>45</v>
      </c>
      <c r="I262">
        <v>0.30990000000000001</v>
      </c>
      <c r="J262" t="s">
        <v>46</v>
      </c>
      <c r="K262" t="s">
        <v>48</v>
      </c>
      <c r="L262" t="s">
        <v>49</v>
      </c>
      <c r="M262" t="s">
        <v>50</v>
      </c>
      <c r="N262" t="s">
        <v>51</v>
      </c>
      <c r="O262">
        <v>3.45</v>
      </c>
      <c r="P262">
        <v>8.26</v>
      </c>
      <c r="Q262" t="s">
        <v>46</v>
      </c>
      <c r="R262" t="s">
        <v>52</v>
      </c>
      <c r="S262" t="s">
        <v>53</v>
      </c>
      <c r="T262" t="s">
        <v>46</v>
      </c>
      <c r="U262" t="s">
        <v>54</v>
      </c>
      <c r="V262" t="s">
        <v>55</v>
      </c>
      <c r="W262" t="s">
        <v>328</v>
      </c>
      <c r="X262" t="s">
        <v>498</v>
      </c>
      <c r="Y262">
        <v>1.38</v>
      </c>
      <c r="Z262" t="s">
        <v>46</v>
      </c>
      <c r="AA262" t="s">
        <v>58</v>
      </c>
      <c r="AB262" t="s">
        <v>59</v>
      </c>
      <c r="AC262">
        <v>283</v>
      </c>
      <c r="AD262" t="s">
        <v>46</v>
      </c>
      <c r="AE262" t="s">
        <v>60</v>
      </c>
      <c r="AF262" t="s">
        <v>45</v>
      </c>
      <c r="AG262" t="s">
        <v>46</v>
      </c>
      <c r="AH262" t="s">
        <v>61</v>
      </c>
      <c r="AI262" t="s">
        <v>48</v>
      </c>
      <c r="AJ262" t="s">
        <v>62</v>
      </c>
      <c r="AK262" t="s">
        <v>63</v>
      </c>
      <c r="AL262" t="s">
        <v>376</v>
      </c>
      <c r="AM262" t="s">
        <v>46</v>
      </c>
      <c r="AN262" t="s">
        <v>60</v>
      </c>
      <c r="AO262" t="s">
        <v>62</v>
      </c>
      <c r="AP262" t="s">
        <v>581</v>
      </c>
      <c r="AQ262" t="s">
        <v>66</v>
      </c>
      <c r="AR262" t="s">
        <v>67</v>
      </c>
    </row>
    <row r="263" spans="1:44">
      <c r="A263" s="1">
        <v>45427</v>
      </c>
      <c r="B263" s="2">
        <v>0.24533564814814815</v>
      </c>
      <c r="C263" t="s">
        <v>44</v>
      </c>
      <c r="D263" t="s">
        <v>45</v>
      </c>
      <c r="E263">
        <v>0.59399999999999997</v>
      </c>
      <c r="F263" t="s">
        <v>46</v>
      </c>
      <c r="G263" t="s">
        <v>47</v>
      </c>
      <c r="H263" t="s">
        <v>45</v>
      </c>
      <c r="I263">
        <v>0.30980000000000002</v>
      </c>
      <c r="J263" t="s">
        <v>46</v>
      </c>
      <c r="K263" t="s">
        <v>48</v>
      </c>
      <c r="L263" t="s">
        <v>49</v>
      </c>
      <c r="M263" t="s">
        <v>50</v>
      </c>
      <c r="N263" t="s">
        <v>51</v>
      </c>
      <c r="O263">
        <v>3.45</v>
      </c>
      <c r="P263">
        <v>8.26</v>
      </c>
      <c r="Q263" t="s">
        <v>46</v>
      </c>
      <c r="R263" t="s">
        <v>52</v>
      </c>
      <c r="S263" t="s">
        <v>53</v>
      </c>
      <c r="T263" t="s">
        <v>46</v>
      </c>
      <c r="U263" t="s">
        <v>54</v>
      </c>
      <c r="V263" t="s">
        <v>55</v>
      </c>
      <c r="W263" t="s">
        <v>328</v>
      </c>
      <c r="X263" t="s">
        <v>498</v>
      </c>
      <c r="Y263">
        <v>1.38</v>
      </c>
      <c r="Z263" t="s">
        <v>46</v>
      </c>
      <c r="AA263" t="s">
        <v>58</v>
      </c>
      <c r="AB263" t="s">
        <v>59</v>
      </c>
      <c r="AC263">
        <v>283</v>
      </c>
      <c r="AD263" t="s">
        <v>46</v>
      </c>
      <c r="AE263" t="s">
        <v>60</v>
      </c>
      <c r="AF263" t="s">
        <v>45</v>
      </c>
      <c r="AG263" t="s">
        <v>46</v>
      </c>
      <c r="AH263" t="s">
        <v>61</v>
      </c>
      <c r="AI263" t="s">
        <v>48</v>
      </c>
      <c r="AJ263" t="s">
        <v>62</v>
      </c>
      <c r="AK263" t="s">
        <v>63</v>
      </c>
      <c r="AL263" t="s">
        <v>376</v>
      </c>
      <c r="AM263" t="s">
        <v>46</v>
      </c>
      <c r="AN263" t="s">
        <v>60</v>
      </c>
      <c r="AO263" t="s">
        <v>62</v>
      </c>
      <c r="AP263" t="s">
        <v>582</v>
      </c>
      <c r="AQ263" t="s">
        <v>66</v>
      </c>
      <c r="AR263" t="s">
        <v>67</v>
      </c>
    </row>
    <row r="264" spans="1:44">
      <c r="A264" s="1">
        <v>45427</v>
      </c>
      <c r="B264" s="2">
        <v>0.24538194444444444</v>
      </c>
      <c r="C264" t="s">
        <v>44</v>
      </c>
      <c r="D264" t="s">
        <v>45</v>
      </c>
      <c r="E264">
        <v>0.70599999999999996</v>
      </c>
      <c r="F264" t="s">
        <v>46</v>
      </c>
      <c r="G264" t="s">
        <v>47</v>
      </c>
      <c r="H264" t="s">
        <v>45</v>
      </c>
      <c r="I264">
        <v>0.30990000000000001</v>
      </c>
      <c r="J264" t="s">
        <v>46</v>
      </c>
      <c r="K264" t="s">
        <v>48</v>
      </c>
      <c r="L264" t="s">
        <v>49</v>
      </c>
      <c r="M264" t="s">
        <v>50</v>
      </c>
      <c r="N264" t="s">
        <v>51</v>
      </c>
      <c r="O264">
        <v>3.45</v>
      </c>
      <c r="P264">
        <v>8.26</v>
      </c>
      <c r="Q264" t="s">
        <v>46</v>
      </c>
      <c r="R264" t="s">
        <v>52</v>
      </c>
      <c r="S264" t="s">
        <v>53</v>
      </c>
      <c r="T264" t="s">
        <v>46</v>
      </c>
      <c r="U264" t="s">
        <v>54</v>
      </c>
      <c r="V264" t="s">
        <v>55</v>
      </c>
      <c r="W264" t="s">
        <v>330</v>
      </c>
      <c r="X264" t="s">
        <v>498</v>
      </c>
      <c r="Y264">
        <v>1.38</v>
      </c>
      <c r="Z264" t="s">
        <v>46</v>
      </c>
      <c r="AA264" t="s">
        <v>58</v>
      </c>
      <c r="AB264" t="s">
        <v>59</v>
      </c>
      <c r="AC264">
        <v>283</v>
      </c>
      <c r="AD264" t="s">
        <v>46</v>
      </c>
      <c r="AE264" t="s">
        <v>60</v>
      </c>
      <c r="AF264" t="s">
        <v>45</v>
      </c>
      <c r="AG264" t="s">
        <v>46</v>
      </c>
      <c r="AH264" t="s">
        <v>61</v>
      </c>
      <c r="AI264" t="s">
        <v>48</v>
      </c>
      <c r="AJ264" t="s">
        <v>62</v>
      </c>
      <c r="AK264" t="s">
        <v>63</v>
      </c>
      <c r="AL264" t="s">
        <v>376</v>
      </c>
      <c r="AM264" t="s">
        <v>46</v>
      </c>
      <c r="AN264" t="s">
        <v>60</v>
      </c>
      <c r="AO264" t="s">
        <v>62</v>
      </c>
      <c r="AP264" t="s">
        <v>583</v>
      </c>
      <c r="AQ264" t="s">
        <v>66</v>
      </c>
      <c r="AR264" t="s">
        <v>67</v>
      </c>
    </row>
    <row r="265" spans="1:44">
      <c r="A265" s="1">
        <v>45427</v>
      </c>
      <c r="B265" s="2">
        <v>0.24542824074074074</v>
      </c>
      <c r="C265" t="s">
        <v>44</v>
      </c>
      <c r="D265" t="s">
        <v>45</v>
      </c>
      <c r="E265">
        <v>0.54500000000000004</v>
      </c>
      <c r="F265" t="s">
        <v>46</v>
      </c>
      <c r="G265" t="s">
        <v>47</v>
      </c>
      <c r="H265" t="s">
        <v>45</v>
      </c>
      <c r="I265">
        <v>0.30990000000000001</v>
      </c>
      <c r="J265" t="s">
        <v>46</v>
      </c>
      <c r="K265" t="s">
        <v>48</v>
      </c>
      <c r="L265" t="s">
        <v>49</v>
      </c>
      <c r="M265" t="s">
        <v>50</v>
      </c>
      <c r="N265" t="s">
        <v>51</v>
      </c>
      <c r="O265">
        <v>3.45</v>
      </c>
      <c r="P265">
        <v>8.26</v>
      </c>
      <c r="Q265" t="s">
        <v>46</v>
      </c>
      <c r="R265" t="s">
        <v>52</v>
      </c>
      <c r="S265" t="s">
        <v>53</v>
      </c>
      <c r="T265" t="s">
        <v>46</v>
      </c>
      <c r="U265" t="s">
        <v>54</v>
      </c>
      <c r="V265" t="s">
        <v>55</v>
      </c>
      <c r="W265" t="s">
        <v>340</v>
      </c>
      <c r="X265" t="s">
        <v>74</v>
      </c>
      <c r="Y265">
        <v>1.38</v>
      </c>
      <c r="Z265" t="s">
        <v>46</v>
      </c>
      <c r="AA265" t="s">
        <v>58</v>
      </c>
      <c r="AB265" t="s">
        <v>59</v>
      </c>
      <c r="AC265">
        <v>283</v>
      </c>
      <c r="AD265" t="s">
        <v>46</v>
      </c>
      <c r="AE265" t="s">
        <v>60</v>
      </c>
      <c r="AF265" t="s">
        <v>45</v>
      </c>
      <c r="AG265" t="s">
        <v>46</v>
      </c>
      <c r="AH265" t="s">
        <v>61</v>
      </c>
      <c r="AI265" t="s">
        <v>48</v>
      </c>
      <c r="AJ265" t="s">
        <v>62</v>
      </c>
      <c r="AK265" t="s">
        <v>63</v>
      </c>
      <c r="AL265" t="s">
        <v>376</v>
      </c>
      <c r="AM265" t="s">
        <v>46</v>
      </c>
      <c r="AN265" t="s">
        <v>60</v>
      </c>
      <c r="AO265" t="s">
        <v>62</v>
      </c>
      <c r="AP265" t="s">
        <v>584</v>
      </c>
      <c r="AQ265" t="s">
        <v>66</v>
      </c>
      <c r="AR265" t="s">
        <v>67</v>
      </c>
    </row>
    <row r="266" spans="1:44">
      <c r="A266" s="1">
        <v>45427</v>
      </c>
      <c r="B266" s="2">
        <v>0.2454861111111111</v>
      </c>
      <c r="C266" t="s">
        <v>44</v>
      </c>
      <c r="D266" t="s">
        <v>45</v>
      </c>
      <c r="E266">
        <v>0.61799999999999999</v>
      </c>
      <c r="F266" t="s">
        <v>46</v>
      </c>
      <c r="G266" t="s">
        <v>47</v>
      </c>
      <c r="H266" t="s">
        <v>45</v>
      </c>
      <c r="I266">
        <v>0.30990000000000001</v>
      </c>
      <c r="J266" t="s">
        <v>46</v>
      </c>
      <c r="K266" t="s">
        <v>48</v>
      </c>
      <c r="L266" t="s">
        <v>49</v>
      </c>
      <c r="M266" t="s">
        <v>50</v>
      </c>
      <c r="N266" t="s">
        <v>51</v>
      </c>
      <c r="O266">
        <v>3.45</v>
      </c>
      <c r="P266">
        <v>8.26</v>
      </c>
      <c r="Q266" t="s">
        <v>46</v>
      </c>
      <c r="R266" t="s">
        <v>52</v>
      </c>
      <c r="S266" t="s">
        <v>53</v>
      </c>
      <c r="T266" t="s">
        <v>46</v>
      </c>
      <c r="U266" t="s">
        <v>54</v>
      </c>
      <c r="V266" t="s">
        <v>55</v>
      </c>
      <c r="W266" t="s">
        <v>328</v>
      </c>
      <c r="X266" t="s">
        <v>498</v>
      </c>
      <c r="Y266">
        <v>1.38</v>
      </c>
      <c r="Z266" t="s">
        <v>46</v>
      </c>
      <c r="AA266" t="s">
        <v>58</v>
      </c>
      <c r="AB266" t="s">
        <v>59</v>
      </c>
      <c r="AC266">
        <v>283</v>
      </c>
      <c r="AD266" t="s">
        <v>46</v>
      </c>
      <c r="AE266" t="s">
        <v>60</v>
      </c>
      <c r="AF266" t="s">
        <v>45</v>
      </c>
      <c r="AG266" t="s">
        <v>46</v>
      </c>
      <c r="AH266" t="s">
        <v>61</v>
      </c>
      <c r="AI266" t="s">
        <v>48</v>
      </c>
      <c r="AJ266" t="s">
        <v>62</v>
      </c>
      <c r="AK266" t="s">
        <v>63</v>
      </c>
      <c r="AL266" t="s">
        <v>376</v>
      </c>
      <c r="AM266" t="s">
        <v>46</v>
      </c>
      <c r="AN266" t="s">
        <v>60</v>
      </c>
      <c r="AO266" t="s">
        <v>62</v>
      </c>
      <c r="AP266" t="s">
        <v>585</v>
      </c>
      <c r="AQ266" t="s">
        <v>66</v>
      </c>
      <c r="AR266" t="s">
        <v>67</v>
      </c>
    </row>
    <row r="267" spans="1:44">
      <c r="A267" s="1">
        <v>45427</v>
      </c>
      <c r="B267" s="2">
        <v>0.24553240740740739</v>
      </c>
      <c r="C267" t="s">
        <v>44</v>
      </c>
      <c r="D267" t="s">
        <v>45</v>
      </c>
      <c r="E267">
        <v>0.68799999999999994</v>
      </c>
      <c r="F267" t="s">
        <v>46</v>
      </c>
      <c r="G267" t="s">
        <v>47</v>
      </c>
      <c r="H267" t="s">
        <v>45</v>
      </c>
      <c r="I267">
        <v>0.30990000000000001</v>
      </c>
      <c r="J267" t="s">
        <v>46</v>
      </c>
      <c r="K267" t="s">
        <v>48</v>
      </c>
      <c r="L267" t="s">
        <v>49</v>
      </c>
      <c r="M267" t="s">
        <v>50</v>
      </c>
      <c r="N267" t="s">
        <v>51</v>
      </c>
      <c r="O267">
        <v>3.45</v>
      </c>
      <c r="P267">
        <v>8.26</v>
      </c>
      <c r="Q267" t="s">
        <v>46</v>
      </c>
      <c r="R267" t="s">
        <v>52</v>
      </c>
      <c r="S267" t="s">
        <v>53</v>
      </c>
      <c r="T267" t="s">
        <v>46</v>
      </c>
      <c r="U267" t="s">
        <v>54</v>
      </c>
      <c r="V267" t="s">
        <v>55</v>
      </c>
      <c r="W267" t="s">
        <v>330</v>
      </c>
      <c r="X267" t="s">
        <v>213</v>
      </c>
      <c r="Y267">
        <v>1.38</v>
      </c>
      <c r="Z267" t="s">
        <v>46</v>
      </c>
      <c r="AA267" t="s">
        <v>58</v>
      </c>
      <c r="AB267" t="s">
        <v>59</v>
      </c>
      <c r="AC267">
        <v>283</v>
      </c>
      <c r="AD267" t="s">
        <v>46</v>
      </c>
      <c r="AE267" t="s">
        <v>60</v>
      </c>
      <c r="AF267" t="s">
        <v>45</v>
      </c>
      <c r="AG267" t="s">
        <v>46</v>
      </c>
      <c r="AH267" t="s">
        <v>61</v>
      </c>
      <c r="AI267" t="s">
        <v>48</v>
      </c>
      <c r="AJ267" t="s">
        <v>62</v>
      </c>
      <c r="AK267" t="s">
        <v>63</v>
      </c>
      <c r="AL267" t="s">
        <v>376</v>
      </c>
      <c r="AM267" t="s">
        <v>46</v>
      </c>
      <c r="AN267" t="s">
        <v>60</v>
      </c>
      <c r="AO267" t="s">
        <v>62</v>
      </c>
      <c r="AP267" t="s">
        <v>586</v>
      </c>
      <c r="AQ267" t="s">
        <v>66</v>
      </c>
      <c r="AR267" t="s">
        <v>67</v>
      </c>
    </row>
    <row r="268" spans="1:44">
      <c r="A268" s="1">
        <v>45427</v>
      </c>
      <c r="B268" s="2">
        <v>0.24557870370370372</v>
      </c>
      <c r="C268" t="s">
        <v>44</v>
      </c>
      <c r="D268" t="s">
        <v>45</v>
      </c>
      <c r="E268">
        <v>0.52900000000000003</v>
      </c>
      <c r="F268" t="s">
        <v>46</v>
      </c>
      <c r="G268" t="s">
        <v>47</v>
      </c>
      <c r="H268" t="s">
        <v>45</v>
      </c>
      <c r="I268">
        <v>0.31</v>
      </c>
      <c r="J268" t="s">
        <v>46</v>
      </c>
      <c r="K268" t="s">
        <v>48</v>
      </c>
      <c r="L268" t="s">
        <v>49</v>
      </c>
      <c r="M268" t="s">
        <v>50</v>
      </c>
      <c r="N268" t="s">
        <v>51</v>
      </c>
      <c r="O268">
        <v>3.45</v>
      </c>
      <c r="P268">
        <v>8.26</v>
      </c>
      <c r="Q268" t="s">
        <v>46</v>
      </c>
      <c r="R268" t="s">
        <v>52</v>
      </c>
      <c r="S268" t="s">
        <v>53</v>
      </c>
      <c r="T268" t="s">
        <v>46</v>
      </c>
      <c r="U268" t="s">
        <v>54</v>
      </c>
      <c r="V268" t="s">
        <v>55</v>
      </c>
      <c r="W268" t="s">
        <v>152</v>
      </c>
      <c r="X268" t="s">
        <v>192</v>
      </c>
      <c r="Y268">
        <v>1.38</v>
      </c>
      <c r="Z268" t="s">
        <v>46</v>
      </c>
      <c r="AA268" t="s">
        <v>58</v>
      </c>
      <c r="AB268" t="s">
        <v>59</v>
      </c>
      <c r="AC268">
        <v>283</v>
      </c>
      <c r="AD268" t="s">
        <v>46</v>
      </c>
      <c r="AE268" t="s">
        <v>60</v>
      </c>
      <c r="AF268" t="s">
        <v>45</v>
      </c>
      <c r="AG268" t="s">
        <v>46</v>
      </c>
      <c r="AH268" t="s">
        <v>61</v>
      </c>
      <c r="AI268" t="s">
        <v>48</v>
      </c>
      <c r="AJ268" t="s">
        <v>62</v>
      </c>
      <c r="AK268" t="s">
        <v>63</v>
      </c>
      <c r="AL268" t="s">
        <v>376</v>
      </c>
      <c r="AM268" t="s">
        <v>46</v>
      </c>
      <c r="AN268" t="s">
        <v>60</v>
      </c>
      <c r="AO268" t="s">
        <v>62</v>
      </c>
      <c r="AP268" t="s">
        <v>587</v>
      </c>
      <c r="AQ268" t="s">
        <v>66</v>
      </c>
      <c r="AR268" t="s">
        <v>67</v>
      </c>
    </row>
    <row r="269" spans="1:44">
      <c r="A269" s="1">
        <v>45427</v>
      </c>
      <c r="B269" s="2">
        <v>0.24562500000000001</v>
      </c>
      <c r="C269" t="s">
        <v>44</v>
      </c>
      <c r="D269" t="s">
        <v>45</v>
      </c>
      <c r="E269">
        <v>0.53100000000000003</v>
      </c>
      <c r="F269" t="s">
        <v>46</v>
      </c>
      <c r="G269" t="s">
        <v>47</v>
      </c>
      <c r="H269" t="s">
        <v>45</v>
      </c>
      <c r="I269">
        <v>0.31009999999999999</v>
      </c>
      <c r="J269" t="s">
        <v>46</v>
      </c>
      <c r="K269" t="s">
        <v>48</v>
      </c>
      <c r="L269" t="s">
        <v>49</v>
      </c>
      <c r="M269" t="s">
        <v>50</v>
      </c>
      <c r="N269" t="s">
        <v>51</v>
      </c>
      <c r="O269">
        <v>3.45</v>
      </c>
      <c r="P269">
        <v>8.26</v>
      </c>
      <c r="Q269" t="s">
        <v>46</v>
      </c>
      <c r="R269" t="s">
        <v>52</v>
      </c>
      <c r="S269" t="s">
        <v>53</v>
      </c>
      <c r="T269" t="s">
        <v>46</v>
      </c>
      <c r="U269" t="s">
        <v>54</v>
      </c>
      <c r="V269" t="s">
        <v>55</v>
      </c>
      <c r="W269" t="s">
        <v>297</v>
      </c>
      <c r="X269" t="s">
        <v>192</v>
      </c>
      <c r="Y269">
        <v>1.37</v>
      </c>
      <c r="Z269" t="s">
        <v>46</v>
      </c>
      <c r="AA269" t="s">
        <v>58</v>
      </c>
      <c r="AB269" t="s">
        <v>59</v>
      </c>
      <c r="AC269">
        <v>283</v>
      </c>
      <c r="AD269" t="s">
        <v>46</v>
      </c>
      <c r="AE269" t="s">
        <v>60</v>
      </c>
      <c r="AF269" t="s">
        <v>45</v>
      </c>
      <c r="AG269" t="s">
        <v>46</v>
      </c>
      <c r="AH269" t="s">
        <v>61</v>
      </c>
      <c r="AI269" t="s">
        <v>48</v>
      </c>
      <c r="AJ269" t="s">
        <v>62</v>
      </c>
      <c r="AK269" t="s">
        <v>63</v>
      </c>
      <c r="AL269" t="s">
        <v>376</v>
      </c>
      <c r="AM269" t="s">
        <v>46</v>
      </c>
      <c r="AN269" t="s">
        <v>60</v>
      </c>
      <c r="AO269" t="s">
        <v>62</v>
      </c>
      <c r="AP269" t="s">
        <v>588</v>
      </c>
      <c r="AQ269" t="s">
        <v>66</v>
      </c>
      <c r="AR269" t="s">
        <v>67</v>
      </c>
    </row>
    <row r="270" spans="1:44">
      <c r="A270" s="1">
        <v>45427</v>
      </c>
      <c r="B270" s="2">
        <v>0.24568287037037037</v>
      </c>
      <c r="C270" t="s">
        <v>44</v>
      </c>
      <c r="D270" t="s">
        <v>45</v>
      </c>
      <c r="E270">
        <v>0.75800000000000001</v>
      </c>
      <c r="F270" t="s">
        <v>46</v>
      </c>
      <c r="G270" t="s">
        <v>47</v>
      </c>
      <c r="H270" t="s">
        <v>45</v>
      </c>
      <c r="I270">
        <v>0.31</v>
      </c>
      <c r="J270" t="s">
        <v>46</v>
      </c>
      <c r="K270" t="s">
        <v>48</v>
      </c>
      <c r="L270" t="s">
        <v>49</v>
      </c>
      <c r="M270" t="s">
        <v>50</v>
      </c>
      <c r="N270" t="s">
        <v>51</v>
      </c>
      <c r="O270">
        <v>3.45</v>
      </c>
      <c r="P270">
        <v>8.26</v>
      </c>
      <c r="Q270" t="s">
        <v>46</v>
      </c>
      <c r="R270" t="s">
        <v>52</v>
      </c>
      <c r="S270" t="s">
        <v>53</v>
      </c>
      <c r="T270" t="s">
        <v>46</v>
      </c>
      <c r="U270" t="s">
        <v>54</v>
      </c>
      <c r="V270" t="s">
        <v>55</v>
      </c>
      <c r="W270" t="s">
        <v>297</v>
      </c>
      <c r="X270" t="s">
        <v>192</v>
      </c>
      <c r="Y270">
        <v>1.37</v>
      </c>
      <c r="Z270" t="s">
        <v>46</v>
      </c>
      <c r="AA270" t="s">
        <v>58</v>
      </c>
      <c r="AB270" t="s">
        <v>59</v>
      </c>
      <c r="AC270">
        <v>283</v>
      </c>
      <c r="AD270" t="s">
        <v>46</v>
      </c>
      <c r="AE270" t="s">
        <v>60</v>
      </c>
      <c r="AF270" t="s">
        <v>45</v>
      </c>
      <c r="AG270" t="s">
        <v>46</v>
      </c>
      <c r="AH270" t="s">
        <v>61</v>
      </c>
      <c r="AI270" t="s">
        <v>48</v>
      </c>
      <c r="AJ270" t="s">
        <v>62</v>
      </c>
      <c r="AK270" t="s">
        <v>63</v>
      </c>
      <c r="AL270" t="s">
        <v>376</v>
      </c>
      <c r="AM270" t="s">
        <v>46</v>
      </c>
      <c r="AN270" t="s">
        <v>60</v>
      </c>
      <c r="AO270" t="s">
        <v>62</v>
      </c>
      <c r="AP270" t="s">
        <v>589</v>
      </c>
      <c r="AQ270" t="s">
        <v>66</v>
      </c>
      <c r="AR270" t="s">
        <v>67</v>
      </c>
    </row>
    <row r="271" spans="1:44">
      <c r="A271" s="1">
        <v>45427</v>
      </c>
      <c r="B271" s="2">
        <v>0.24572916666666667</v>
      </c>
      <c r="C271" t="s">
        <v>44</v>
      </c>
      <c r="D271" t="s">
        <v>45</v>
      </c>
      <c r="E271">
        <v>0.91200000000000003</v>
      </c>
      <c r="F271" t="s">
        <v>46</v>
      </c>
      <c r="G271" t="s">
        <v>47</v>
      </c>
      <c r="H271" t="s">
        <v>45</v>
      </c>
      <c r="I271">
        <v>0.30990000000000001</v>
      </c>
      <c r="J271" t="s">
        <v>46</v>
      </c>
      <c r="K271" t="s">
        <v>48</v>
      </c>
      <c r="L271" t="s">
        <v>49</v>
      </c>
      <c r="M271" t="s">
        <v>50</v>
      </c>
      <c r="N271" t="s">
        <v>51</v>
      </c>
      <c r="O271">
        <v>3.45</v>
      </c>
      <c r="P271">
        <v>8.26</v>
      </c>
      <c r="Q271" t="s">
        <v>46</v>
      </c>
      <c r="R271" t="s">
        <v>52</v>
      </c>
      <c r="S271" t="s">
        <v>53</v>
      </c>
      <c r="T271" t="s">
        <v>46</v>
      </c>
      <c r="U271" t="s">
        <v>54</v>
      </c>
      <c r="V271" t="s">
        <v>55</v>
      </c>
      <c r="W271" t="s">
        <v>82</v>
      </c>
      <c r="X271" t="s">
        <v>213</v>
      </c>
      <c r="Y271">
        <v>1.38</v>
      </c>
      <c r="Z271" t="s">
        <v>46</v>
      </c>
      <c r="AA271" t="s">
        <v>58</v>
      </c>
      <c r="AB271" t="s">
        <v>59</v>
      </c>
      <c r="AC271">
        <v>283</v>
      </c>
      <c r="AD271" t="s">
        <v>46</v>
      </c>
      <c r="AE271" t="s">
        <v>60</v>
      </c>
      <c r="AF271" t="s">
        <v>45</v>
      </c>
      <c r="AG271" t="s">
        <v>46</v>
      </c>
      <c r="AH271" t="s">
        <v>61</v>
      </c>
      <c r="AI271" t="s">
        <v>48</v>
      </c>
      <c r="AJ271" t="s">
        <v>62</v>
      </c>
      <c r="AK271" t="s">
        <v>63</v>
      </c>
      <c r="AL271" t="s">
        <v>376</v>
      </c>
      <c r="AM271" t="s">
        <v>46</v>
      </c>
      <c r="AN271" t="s">
        <v>60</v>
      </c>
      <c r="AO271" t="s">
        <v>62</v>
      </c>
      <c r="AP271" t="s">
        <v>590</v>
      </c>
      <c r="AQ271" t="s">
        <v>66</v>
      </c>
      <c r="AR271" t="s">
        <v>67</v>
      </c>
    </row>
    <row r="272" spans="1:44">
      <c r="A272" s="1">
        <v>45427</v>
      </c>
      <c r="B272" s="2">
        <v>0.24577546296296296</v>
      </c>
      <c r="C272" t="s">
        <v>44</v>
      </c>
      <c r="D272" t="s">
        <v>45</v>
      </c>
      <c r="E272">
        <v>0.52900000000000003</v>
      </c>
      <c r="F272" t="s">
        <v>46</v>
      </c>
      <c r="G272" t="s">
        <v>47</v>
      </c>
      <c r="H272" t="s">
        <v>45</v>
      </c>
      <c r="I272">
        <v>0.30990000000000001</v>
      </c>
      <c r="J272" t="s">
        <v>46</v>
      </c>
      <c r="K272" t="s">
        <v>48</v>
      </c>
      <c r="L272" t="s">
        <v>49</v>
      </c>
      <c r="M272" t="s">
        <v>50</v>
      </c>
      <c r="N272" t="s">
        <v>51</v>
      </c>
      <c r="O272">
        <v>3.45</v>
      </c>
      <c r="P272">
        <v>8.26</v>
      </c>
      <c r="Q272" t="s">
        <v>46</v>
      </c>
      <c r="R272" t="s">
        <v>52</v>
      </c>
      <c r="S272" t="s">
        <v>53</v>
      </c>
      <c r="T272" t="s">
        <v>46</v>
      </c>
      <c r="U272" t="s">
        <v>54</v>
      </c>
      <c r="V272" t="s">
        <v>55</v>
      </c>
      <c r="W272" t="s">
        <v>333</v>
      </c>
      <c r="X272" t="s">
        <v>498</v>
      </c>
      <c r="Y272">
        <v>1.38</v>
      </c>
      <c r="Z272" t="s">
        <v>46</v>
      </c>
      <c r="AA272" t="s">
        <v>58</v>
      </c>
      <c r="AB272" t="s">
        <v>59</v>
      </c>
      <c r="AC272">
        <v>283</v>
      </c>
      <c r="AD272" t="s">
        <v>46</v>
      </c>
      <c r="AE272" t="s">
        <v>60</v>
      </c>
      <c r="AF272" t="s">
        <v>45</v>
      </c>
      <c r="AG272" t="s">
        <v>46</v>
      </c>
      <c r="AH272" t="s">
        <v>61</v>
      </c>
      <c r="AI272" t="s">
        <v>48</v>
      </c>
      <c r="AJ272" t="s">
        <v>62</v>
      </c>
      <c r="AK272" t="s">
        <v>63</v>
      </c>
      <c r="AL272" t="s">
        <v>376</v>
      </c>
      <c r="AM272" t="s">
        <v>46</v>
      </c>
      <c r="AN272" t="s">
        <v>60</v>
      </c>
      <c r="AO272" t="s">
        <v>62</v>
      </c>
      <c r="AP272" t="s">
        <v>591</v>
      </c>
      <c r="AQ272" t="s">
        <v>66</v>
      </c>
      <c r="AR272" t="s">
        <v>67</v>
      </c>
    </row>
    <row r="273" spans="1:44">
      <c r="A273" s="1">
        <v>45427</v>
      </c>
      <c r="B273" s="2">
        <v>0.24582175925925925</v>
      </c>
      <c r="C273" t="s">
        <v>44</v>
      </c>
      <c r="D273" t="s">
        <v>45</v>
      </c>
      <c r="E273">
        <v>0.70599999999999996</v>
      </c>
      <c r="F273" t="s">
        <v>46</v>
      </c>
      <c r="G273" t="s">
        <v>47</v>
      </c>
      <c r="H273" t="s">
        <v>45</v>
      </c>
      <c r="I273">
        <v>0.31</v>
      </c>
      <c r="J273" t="s">
        <v>46</v>
      </c>
      <c r="K273" t="s">
        <v>48</v>
      </c>
      <c r="L273" t="s">
        <v>49</v>
      </c>
      <c r="M273" t="s">
        <v>50</v>
      </c>
      <c r="N273" t="s">
        <v>51</v>
      </c>
      <c r="O273">
        <v>3.45</v>
      </c>
      <c r="P273">
        <v>8.26</v>
      </c>
      <c r="Q273" t="s">
        <v>46</v>
      </c>
      <c r="R273" t="s">
        <v>52</v>
      </c>
      <c r="S273" t="s">
        <v>53</v>
      </c>
      <c r="T273" t="s">
        <v>46</v>
      </c>
      <c r="U273" t="s">
        <v>54</v>
      </c>
      <c r="V273" t="s">
        <v>55</v>
      </c>
      <c r="W273" t="s">
        <v>213</v>
      </c>
      <c r="X273" t="s">
        <v>74</v>
      </c>
      <c r="Y273">
        <v>1.39</v>
      </c>
      <c r="Z273" t="s">
        <v>46</v>
      </c>
      <c r="AA273" t="s">
        <v>58</v>
      </c>
      <c r="AB273" t="s">
        <v>59</v>
      </c>
      <c r="AC273">
        <v>283</v>
      </c>
      <c r="AD273" t="s">
        <v>46</v>
      </c>
      <c r="AE273" t="s">
        <v>60</v>
      </c>
      <c r="AF273" t="s">
        <v>45</v>
      </c>
      <c r="AG273" t="s">
        <v>46</v>
      </c>
      <c r="AH273" t="s">
        <v>61</v>
      </c>
      <c r="AI273" t="s">
        <v>48</v>
      </c>
      <c r="AJ273" t="s">
        <v>62</v>
      </c>
      <c r="AK273" t="s">
        <v>63</v>
      </c>
      <c r="AL273" t="s">
        <v>376</v>
      </c>
      <c r="AM273" t="s">
        <v>46</v>
      </c>
      <c r="AN273" t="s">
        <v>60</v>
      </c>
      <c r="AO273" t="s">
        <v>62</v>
      </c>
      <c r="AP273" t="s">
        <v>592</v>
      </c>
      <c r="AQ273" t="s">
        <v>66</v>
      </c>
      <c r="AR273" t="s">
        <v>67</v>
      </c>
    </row>
    <row r="274" spans="1:44">
      <c r="A274" s="1">
        <v>45427</v>
      </c>
      <c r="B274" s="2">
        <v>0.24587962962962964</v>
      </c>
      <c r="C274" t="s">
        <v>44</v>
      </c>
      <c r="D274" t="s">
        <v>45</v>
      </c>
      <c r="E274">
        <v>0.57599999999999996</v>
      </c>
      <c r="F274" t="s">
        <v>46</v>
      </c>
      <c r="G274" t="s">
        <v>47</v>
      </c>
      <c r="H274" t="s">
        <v>45</v>
      </c>
      <c r="I274">
        <v>0.31009999999999999</v>
      </c>
      <c r="J274" t="s">
        <v>46</v>
      </c>
      <c r="K274" t="s">
        <v>48</v>
      </c>
      <c r="L274" t="s">
        <v>49</v>
      </c>
      <c r="M274" t="s">
        <v>50</v>
      </c>
      <c r="N274" t="s">
        <v>51</v>
      </c>
      <c r="O274">
        <v>3.45</v>
      </c>
      <c r="P274">
        <v>8.26</v>
      </c>
      <c r="Q274" t="s">
        <v>46</v>
      </c>
      <c r="R274" t="s">
        <v>52</v>
      </c>
      <c r="S274" t="s">
        <v>53</v>
      </c>
      <c r="T274" t="s">
        <v>46</v>
      </c>
      <c r="U274" t="s">
        <v>54</v>
      </c>
      <c r="V274" t="s">
        <v>55</v>
      </c>
      <c r="W274" t="s">
        <v>71</v>
      </c>
      <c r="X274" t="s">
        <v>498</v>
      </c>
      <c r="Y274">
        <v>1.38</v>
      </c>
      <c r="Z274" t="s">
        <v>46</v>
      </c>
      <c r="AA274" t="s">
        <v>58</v>
      </c>
      <c r="AB274" t="s">
        <v>59</v>
      </c>
      <c r="AC274">
        <v>283</v>
      </c>
      <c r="AD274" t="s">
        <v>46</v>
      </c>
      <c r="AE274" t="s">
        <v>60</v>
      </c>
      <c r="AF274" t="s">
        <v>45</v>
      </c>
      <c r="AG274" t="s">
        <v>46</v>
      </c>
      <c r="AH274" t="s">
        <v>61</v>
      </c>
      <c r="AI274" t="s">
        <v>48</v>
      </c>
      <c r="AJ274" t="s">
        <v>62</v>
      </c>
      <c r="AK274" t="s">
        <v>63</v>
      </c>
      <c r="AL274" t="s">
        <v>376</v>
      </c>
      <c r="AM274" t="s">
        <v>46</v>
      </c>
      <c r="AN274" t="s">
        <v>60</v>
      </c>
      <c r="AO274" t="s">
        <v>62</v>
      </c>
      <c r="AP274" t="s">
        <v>593</v>
      </c>
      <c r="AQ274" t="s">
        <v>66</v>
      </c>
      <c r="AR274" t="s">
        <v>67</v>
      </c>
    </row>
    <row r="275" spans="1:44">
      <c r="A275" s="1">
        <v>45427</v>
      </c>
      <c r="B275" s="2">
        <v>0.24592592592592594</v>
      </c>
      <c r="C275" t="s">
        <v>44</v>
      </c>
      <c r="D275" t="s">
        <v>45</v>
      </c>
      <c r="E275">
        <v>0.51500000000000001</v>
      </c>
      <c r="F275" t="s">
        <v>46</v>
      </c>
      <c r="G275" t="s">
        <v>47</v>
      </c>
      <c r="H275" t="s">
        <v>45</v>
      </c>
      <c r="I275">
        <v>0.31019999999999998</v>
      </c>
      <c r="J275" t="s">
        <v>46</v>
      </c>
      <c r="K275" t="s">
        <v>48</v>
      </c>
      <c r="L275" t="s">
        <v>49</v>
      </c>
      <c r="M275" t="s">
        <v>50</v>
      </c>
      <c r="N275" t="s">
        <v>51</v>
      </c>
      <c r="O275">
        <v>3.45</v>
      </c>
      <c r="P275">
        <v>8.26</v>
      </c>
      <c r="Q275" t="s">
        <v>46</v>
      </c>
      <c r="R275" t="s">
        <v>52</v>
      </c>
      <c r="S275" t="s">
        <v>53</v>
      </c>
      <c r="T275" t="s">
        <v>46</v>
      </c>
      <c r="U275" t="s">
        <v>54</v>
      </c>
      <c r="V275" t="s">
        <v>55</v>
      </c>
      <c r="W275" t="s">
        <v>340</v>
      </c>
      <c r="X275" t="s">
        <v>213</v>
      </c>
      <c r="Y275">
        <v>1.38</v>
      </c>
      <c r="Z275" t="s">
        <v>46</v>
      </c>
      <c r="AA275" t="s">
        <v>58</v>
      </c>
      <c r="AB275" t="s">
        <v>59</v>
      </c>
      <c r="AC275">
        <v>283</v>
      </c>
      <c r="AD275" t="s">
        <v>46</v>
      </c>
      <c r="AE275" t="s">
        <v>60</v>
      </c>
      <c r="AF275" t="s">
        <v>45</v>
      </c>
      <c r="AG275" t="s">
        <v>46</v>
      </c>
      <c r="AH275" t="s">
        <v>61</v>
      </c>
      <c r="AI275" t="s">
        <v>48</v>
      </c>
      <c r="AJ275" t="s">
        <v>62</v>
      </c>
      <c r="AK275" t="s">
        <v>63</v>
      </c>
      <c r="AL275" t="s">
        <v>376</v>
      </c>
      <c r="AM275" t="s">
        <v>46</v>
      </c>
      <c r="AN275" t="s">
        <v>60</v>
      </c>
      <c r="AO275" t="s">
        <v>62</v>
      </c>
      <c r="AP275" t="s">
        <v>594</v>
      </c>
      <c r="AQ275" t="s">
        <v>66</v>
      </c>
      <c r="AR275" t="s">
        <v>67</v>
      </c>
    </row>
    <row r="276" spans="1:44">
      <c r="A276" s="1">
        <v>45427</v>
      </c>
      <c r="B276" s="2">
        <v>0.24597222222222223</v>
      </c>
      <c r="C276" t="s">
        <v>44</v>
      </c>
      <c r="D276" t="s">
        <v>45</v>
      </c>
      <c r="E276">
        <v>0.69699999999999995</v>
      </c>
      <c r="F276" t="s">
        <v>46</v>
      </c>
      <c r="G276" t="s">
        <v>47</v>
      </c>
      <c r="H276" t="s">
        <v>45</v>
      </c>
      <c r="I276">
        <v>0.31019999999999998</v>
      </c>
      <c r="J276" t="s">
        <v>46</v>
      </c>
      <c r="K276" t="s">
        <v>48</v>
      </c>
      <c r="L276" t="s">
        <v>49</v>
      </c>
      <c r="M276" t="s">
        <v>50</v>
      </c>
      <c r="N276" t="s">
        <v>51</v>
      </c>
      <c r="O276">
        <v>3.45</v>
      </c>
      <c r="P276">
        <v>8.26</v>
      </c>
      <c r="Q276" t="s">
        <v>46</v>
      </c>
      <c r="R276" t="s">
        <v>52</v>
      </c>
      <c r="S276" t="s">
        <v>53</v>
      </c>
      <c r="T276" t="s">
        <v>46</v>
      </c>
      <c r="U276" t="s">
        <v>54</v>
      </c>
      <c r="V276" t="s">
        <v>55</v>
      </c>
      <c r="W276" t="s">
        <v>340</v>
      </c>
      <c r="X276" t="s">
        <v>213</v>
      </c>
      <c r="Y276">
        <v>1.38</v>
      </c>
      <c r="Z276" t="s">
        <v>46</v>
      </c>
      <c r="AA276" t="s">
        <v>58</v>
      </c>
      <c r="AB276" t="s">
        <v>59</v>
      </c>
      <c r="AC276">
        <v>283</v>
      </c>
      <c r="AD276" t="s">
        <v>46</v>
      </c>
      <c r="AE276" t="s">
        <v>60</v>
      </c>
      <c r="AF276" t="s">
        <v>45</v>
      </c>
      <c r="AG276" t="s">
        <v>46</v>
      </c>
      <c r="AH276" t="s">
        <v>61</v>
      </c>
      <c r="AI276" t="s">
        <v>48</v>
      </c>
      <c r="AJ276" t="s">
        <v>62</v>
      </c>
      <c r="AK276" t="s">
        <v>63</v>
      </c>
      <c r="AL276" t="s">
        <v>376</v>
      </c>
      <c r="AM276" t="s">
        <v>46</v>
      </c>
      <c r="AN276" t="s">
        <v>60</v>
      </c>
      <c r="AO276" t="s">
        <v>62</v>
      </c>
      <c r="AP276" t="s">
        <v>595</v>
      </c>
      <c r="AQ276" t="s">
        <v>66</v>
      </c>
      <c r="AR276" t="s">
        <v>67</v>
      </c>
    </row>
    <row r="277" spans="1:44">
      <c r="A277" s="1">
        <v>45427</v>
      </c>
      <c r="B277" s="2">
        <v>0.24601851851851853</v>
      </c>
      <c r="C277" t="s">
        <v>44</v>
      </c>
      <c r="D277" t="s">
        <v>45</v>
      </c>
      <c r="E277">
        <v>0.97099999999999997</v>
      </c>
      <c r="F277" t="s">
        <v>46</v>
      </c>
      <c r="G277" t="s">
        <v>47</v>
      </c>
      <c r="H277" t="s">
        <v>45</v>
      </c>
      <c r="I277">
        <v>0.31019999999999998</v>
      </c>
      <c r="J277" t="s">
        <v>46</v>
      </c>
      <c r="K277" t="s">
        <v>48</v>
      </c>
      <c r="L277" t="s">
        <v>49</v>
      </c>
      <c r="M277" t="s">
        <v>50</v>
      </c>
      <c r="N277" t="s">
        <v>51</v>
      </c>
      <c r="O277">
        <v>3.45</v>
      </c>
      <c r="P277">
        <v>8.26</v>
      </c>
      <c r="Q277" t="s">
        <v>46</v>
      </c>
      <c r="R277" t="s">
        <v>52</v>
      </c>
      <c r="S277" t="s">
        <v>53</v>
      </c>
      <c r="T277" t="s">
        <v>46</v>
      </c>
      <c r="U277" t="s">
        <v>54</v>
      </c>
      <c r="V277" t="s">
        <v>55</v>
      </c>
      <c r="W277" t="s">
        <v>68</v>
      </c>
      <c r="X277" t="s">
        <v>192</v>
      </c>
      <c r="Y277">
        <v>1.38</v>
      </c>
      <c r="Z277" t="s">
        <v>46</v>
      </c>
      <c r="AA277" t="s">
        <v>58</v>
      </c>
      <c r="AB277" t="s">
        <v>59</v>
      </c>
      <c r="AC277">
        <v>284</v>
      </c>
      <c r="AD277" t="s">
        <v>46</v>
      </c>
      <c r="AE277" t="s">
        <v>60</v>
      </c>
      <c r="AF277" t="s">
        <v>45</v>
      </c>
      <c r="AG277" t="s">
        <v>46</v>
      </c>
      <c r="AH277" t="s">
        <v>61</v>
      </c>
      <c r="AI277" t="s">
        <v>48</v>
      </c>
      <c r="AJ277" t="s">
        <v>62</v>
      </c>
      <c r="AK277" t="s">
        <v>63</v>
      </c>
      <c r="AL277" t="s">
        <v>376</v>
      </c>
      <c r="AM277" t="s">
        <v>46</v>
      </c>
      <c r="AN277" t="s">
        <v>60</v>
      </c>
      <c r="AO277" t="s">
        <v>62</v>
      </c>
      <c r="AP277" t="s">
        <v>596</v>
      </c>
      <c r="AQ277" t="s">
        <v>66</v>
      </c>
      <c r="AR277" t="s">
        <v>67</v>
      </c>
    </row>
    <row r="278" spans="1:44">
      <c r="A278" s="1">
        <v>45427</v>
      </c>
      <c r="B278" s="2">
        <v>0.24607638888888889</v>
      </c>
      <c r="C278" t="s">
        <v>44</v>
      </c>
      <c r="D278" t="s">
        <v>45</v>
      </c>
      <c r="E278">
        <v>0.53100000000000003</v>
      </c>
      <c r="F278" t="s">
        <v>46</v>
      </c>
      <c r="G278" t="s">
        <v>47</v>
      </c>
      <c r="H278" t="s">
        <v>45</v>
      </c>
      <c r="I278">
        <v>0.31009999999999999</v>
      </c>
      <c r="J278" t="s">
        <v>46</v>
      </c>
      <c r="K278" t="s">
        <v>48</v>
      </c>
      <c r="L278" t="s">
        <v>49</v>
      </c>
      <c r="M278" t="s">
        <v>50</v>
      </c>
      <c r="N278" t="s">
        <v>51</v>
      </c>
      <c r="O278">
        <v>3.45</v>
      </c>
      <c r="P278">
        <v>8.26</v>
      </c>
      <c r="Q278" t="s">
        <v>46</v>
      </c>
      <c r="R278" t="s">
        <v>52</v>
      </c>
      <c r="S278" t="s">
        <v>53</v>
      </c>
      <c r="T278" t="s">
        <v>46</v>
      </c>
      <c r="U278" t="s">
        <v>54</v>
      </c>
      <c r="V278" t="s">
        <v>55</v>
      </c>
      <c r="W278" t="s">
        <v>195</v>
      </c>
      <c r="X278" t="s">
        <v>192</v>
      </c>
      <c r="Y278">
        <v>1.38</v>
      </c>
      <c r="Z278" t="s">
        <v>46</v>
      </c>
      <c r="AA278" t="s">
        <v>58</v>
      </c>
      <c r="AB278" t="s">
        <v>59</v>
      </c>
      <c r="AC278">
        <v>283</v>
      </c>
      <c r="AD278" t="s">
        <v>46</v>
      </c>
      <c r="AE278" t="s">
        <v>60</v>
      </c>
      <c r="AF278" t="s">
        <v>45</v>
      </c>
      <c r="AG278" t="s">
        <v>46</v>
      </c>
      <c r="AH278" t="s">
        <v>61</v>
      </c>
      <c r="AI278" t="s">
        <v>48</v>
      </c>
      <c r="AJ278" t="s">
        <v>62</v>
      </c>
      <c r="AK278" t="s">
        <v>63</v>
      </c>
      <c r="AL278" t="s">
        <v>376</v>
      </c>
      <c r="AM278" t="s">
        <v>46</v>
      </c>
      <c r="AN278" t="s">
        <v>60</v>
      </c>
      <c r="AO278" t="s">
        <v>62</v>
      </c>
      <c r="AP278" t="s">
        <v>597</v>
      </c>
      <c r="AQ278" t="s">
        <v>66</v>
      </c>
      <c r="AR278" t="s">
        <v>67</v>
      </c>
    </row>
    <row r="279" spans="1:44">
      <c r="A279" s="1">
        <v>45427</v>
      </c>
      <c r="B279" s="2">
        <v>0.24612268518518518</v>
      </c>
      <c r="C279" t="s">
        <v>44</v>
      </c>
      <c r="D279" t="s">
        <v>45</v>
      </c>
      <c r="E279">
        <v>0.78800000000000003</v>
      </c>
      <c r="F279" t="s">
        <v>46</v>
      </c>
      <c r="G279" t="s">
        <v>47</v>
      </c>
      <c r="H279" t="s">
        <v>45</v>
      </c>
      <c r="I279">
        <v>0.31</v>
      </c>
      <c r="J279" t="s">
        <v>46</v>
      </c>
      <c r="K279" t="s">
        <v>48</v>
      </c>
      <c r="L279" t="s">
        <v>49</v>
      </c>
      <c r="M279" t="s">
        <v>50</v>
      </c>
      <c r="N279" t="s">
        <v>51</v>
      </c>
      <c r="O279">
        <v>3.45</v>
      </c>
      <c r="P279">
        <v>8.26</v>
      </c>
      <c r="Q279" t="s">
        <v>46</v>
      </c>
      <c r="R279" t="s">
        <v>52</v>
      </c>
      <c r="S279" t="s">
        <v>53</v>
      </c>
      <c r="T279" t="s">
        <v>46</v>
      </c>
      <c r="U279" t="s">
        <v>54</v>
      </c>
      <c r="V279" t="s">
        <v>55</v>
      </c>
      <c r="W279" t="s">
        <v>340</v>
      </c>
      <c r="X279" t="s">
        <v>213</v>
      </c>
      <c r="Y279">
        <v>1.38</v>
      </c>
      <c r="Z279" t="s">
        <v>46</v>
      </c>
      <c r="AA279" t="s">
        <v>58</v>
      </c>
      <c r="AB279" t="s">
        <v>59</v>
      </c>
      <c r="AC279">
        <v>283</v>
      </c>
      <c r="AD279" t="s">
        <v>46</v>
      </c>
      <c r="AE279" t="s">
        <v>60</v>
      </c>
      <c r="AF279" t="s">
        <v>45</v>
      </c>
      <c r="AG279" t="s">
        <v>46</v>
      </c>
      <c r="AH279" t="s">
        <v>61</v>
      </c>
      <c r="AI279" t="s">
        <v>48</v>
      </c>
      <c r="AJ279" t="s">
        <v>62</v>
      </c>
      <c r="AK279" t="s">
        <v>63</v>
      </c>
      <c r="AL279" t="s">
        <v>376</v>
      </c>
      <c r="AM279" t="s">
        <v>46</v>
      </c>
      <c r="AN279" t="s">
        <v>60</v>
      </c>
      <c r="AO279" t="s">
        <v>62</v>
      </c>
      <c r="AP279" t="s">
        <v>598</v>
      </c>
      <c r="AQ279" t="s">
        <v>66</v>
      </c>
      <c r="AR279" t="s">
        <v>67</v>
      </c>
    </row>
    <row r="280" spans="1:44">
      <c r="A280" s="1">
        <v>45427</v>
      </c>
      <c r="B280" s="2">
        <v>0.24616898148148147</v>
      </c>
      <c r="C280" t="s">
        <v>44</v>
      </c>
      <c r="D280" t="s">
        <v>45</v>
      </c>
      <c r="E280">
        <v>0.53100000000000003</v>
      </c>
      <c r="F280" t="s">
        <v>46</v>
      </c>
      <c r="G280" t="s">
        <v>47</v>
      </c>
      <c r="H280" t="s">
        <v>45</v>
      </c>
      <c r="I280">
        <v>0.31019999999999998</v>
      </c>
      <c r="J280" t="s">
        <v>46</v>
      </c>
      <c r="K280" t="s">
        <v>48</v>
      </c>
      <c r="L280" t="s">
        <v>49</v>
      </c>
      <c r="M280" t="s">
        <v>50</v>
      </c>
      <c r="N280" t="s">
        <v>51</v>
      </c>
      <c r="O280">
        <v>3.45</v>
      </c>
      <c r="P280">
        <v>8.26</v>
      </c>
      <c r="Q280" t="s">
        <v>46</v>
      </c>
      <c r="R280" t="s">
        <v>52</v>
      </c>
      <c r="S280" t="s">
        <v>53</v>
      </c>
      <c r="T280" t="s">
        <v>46</v>
      </c>
      <c r="U280" t="s">
        <v>54</v>
      </c>
      <c r="V280" t="s">
        <v>55</v>
      </c>
      <c r="W280" t="s">
        <v>154</v>
      </c>
      <c r="X280" t="s">
        <v>71</v>
      </c>
      <c r="Y280">
        <v>1.37</v>
      </c>
      <c r="Z280" t="s">
        <v>46</v>
      </c>
      <c r="AA280" t="s">
        <v>58</v>
      </c>
      <c r="AB280" t="s">
        <v>59</v>
      </c>
      <c r="AC280">
        <v>283</v>
      </c>
      <c r="AD280" t="s">
        <v>46</v>
      </c>
      <c r="AE280" t="s">
        <v>60</v>
      </c>
      <c r="AF280" t="s">
        <v>45</v>
      </c>
      <c r="AG280" t="s">
        <v>46</v>
      </c>
      <c r="AH280" t="s">
        <v>61</v>
      </c>
      <c r="AI280" t="s">
        <v>48</v>
      </c>
      <c r="AJ280" t="s">
        <v>62</v>
      </c>
      <c r="AK280" t="s">
        <v>63</v>
      </c>
      <c r="AL280" t="s">
        <v>376</v>
      </c>
      <c r="AM280" t="s">
        <v>46</v>
      </c>
      <c r="AN280" t="s">
        <v>60</v>
      </c>
      <c r="AO280" t="s">
        <v>62</v>
      </c>
      <c r="AP280" t="s">
        <v>599</v>
      </c>
      <c r="AQ280" t="s">
        <v>66</v>
      </c>
      <c r="AR280" t="s">
        <v>67</v>
      </c>
    </row>
    <row r="281" spans="1:44">
      <c r="A281" s="1">
        <v>45427</v>
      </c>
      <c r="B281" s="2">
        <v>0.24621527777777777</v>
      </c>
      <c r="C281" t="s">
        <v>44</v>
      </c>
      <c r="D281" t="s">
        <v>45</v>
      </c>
      <c r="E281">
        <v>0.47099999999999997</v>
      </c>
      <c r="F281" t="s">
        <v>46</v>
      </c>
      <c r="G281" t="s">
        <v>47</v>
      </c>
      <c r="H281" t="s">
        <v>45</v>
      </c>
      <c r="I281">
        <v>0.31009999999999999</v>
      </c>
      <c r="J281" t="s">
        <v>46</v>
      </c>
      <c r="K281" t="s">
        <v>48</v>
      </c>
      <c r="L281" t="s">
        <v>49</v>
      </c>
      <c r="M281" t="s">
        <v>50</v>
      </c>
      <c r="N281" t="s">
        <v>51</v>
      </c>
      <c r="O281">
        <v>3.45</v>
      </c>
      <c r="P281">
        <v>8.26</v>
      </c>
      <c r="Q281" t="s">
        <v>46</v>
      </c>
      <c r="R281" t="s">
        <v>52</v>
      </c>
      <c r="S281" t="s">
        <v>53</v>
      </c>
      <c r="T281" t="s">
        <v>46</v>
      </c>
      <c r="U281" t="s">
        <v>54</v>
      </c>
      <c r="V281" t="s">
        <v>55</v>
      </c>
      <c r="W281" t="s">
        <v>330</v>
      </c>
      <c r="X281" t="s">
        <v>460</v>
      </c>
      <c r="Y281">
        <v>1.37</v>
      </c>
      <c r="Z281" t="s">
        <v>46</v>
      </c>
      <c r="AA281" t="s">
        <v>58</v>
      </c>
      <c r="AB281" t="s">
        <v>59</v>
      </c>
      <c r="AC281">
        <v>283</v>
      </c>
      <c r="AD281" t="s">
        <v>46</v>
      </c>
      <c r="AE281" t="s">
        <v>60</v>
      </c>
      <c r="AF281" t="s">
        <v>45</v>
      </c>
      <c r="AG281" t="s">
        <v>46</v>
      </c>
      <c r="AH281" t="s">
        <v>61</v>
      </c>
      <c r="AI281" t="s">
        <v>48</v>
      </c>
      <c r="AJ281" t="s">
        <v>62</v>
      </c>
      <c r="AK281" t="s">
        <v>63</v>
      </c>
      <c r="AL281" t="s">
        <v>376</v>
      </c>
      <c r="AM281" t="s">
        <v>46</v>
      </c>
      <c r="AN281" t="s">
        <v>60</v>
      </c>
      <c r="AO281" t="s">
        <v>62</v>
      </c>
      <c r="AP281" t="s">
        <v>600</v>
      </c>
      <c r="AQ281" t="s">
        <v>66</v>
      </c>
      <c r="AR281" t="s">
        <v>67</v>
      </c>
    </row>
    <row r="282" spans="1:44">
      <c r="A282" s="1">
        <v>45427</v>
      </c>
      <c r="B282" s="2">
        <v>0.24626157407407406</v>
      </c>
      <c r="C282" t="s">
        <v>44</v>
      </c>
      <c r="D282" t="s">
        <v>45</v>
      </c>
      <c r="E282">
        <v>1</v>
      </c>
      <c r="F282" t="s">
        <v>46</v>
      </c>
      <c r="G282" t="s">
        <v>47</v>
      </c>
      <c r="H282" t="s">
        <v>45</v>
      </c>
      <c r="I282">
        <v>0.30990000000000001</v>
      </c>
      <c r="J282" t="s">
        <v>46</v>
      </c>
      <c r="K282" t="s">
        <v>48</v>
      </c>
      <c r="L282" t="s">
        <v>49</v>
      </c>
      <c r="M282" t="s">
        <v>50</v>
      </c>
      <c r="N282" t="s">
        <v>51</v>
      </c>
      <c r="O282">
        <v>3.45</v>
      </c>
      <c r="P282">
        <v>8.26</v>
      </c>
      <c r="Q282" t="s">
        <v>46</v>
      </c>
      <c r="R282" t="s">
        <v>52</v>
      </c>
      <c r="S282" t="s">
        <v>53</v>
      </c>
      <c r="T282" t="s">
        <v>46</v>
      </c>
      <c r="U282" t="s">
        <v>54</v>
      </c>
      <c r="V282" t="s">
        <v>55</v>
      </c>
      <c r="W282" t="s">
        <v>56</v>
      </c>
      <c r="X282" t="s">
        <v>498</v>
      </c>
      <c r="Y282">
        <v>1.38</v>
      </c>
      <c r="Z282" t="s">
        <v>46</v>
      </c>
      <c r="AA282" t="s">
        <v>58</v>
      </c>
      <c r="AB282" t="s">
        <v>59</v>
      </c>
      <c r="AC282">
        <v>284</v>
      </c>
      <c r="AD282" t="s">
        <v>46</v>
      </c>
      <c r="AE282" t="s">
        <v>60</v>
      </c>
      <c r="AF282" t="s">
        <v>45</v>
      </c>
      <c r="AG282" t="s">
        <v>46</v>
      </c>
      <c r="AH282" t="s">
        <v>61</v>
      </c>
      <c r="AI282" t="s">
        <v>48</v>
      </c>
      <c r="AJ282" t="s">
        <v>62</v>
      </c>
      <c r="AK282" t="s">
        <v>63</v>
      </c>
      <c r="AL282" t="s">
        <v>376</v>
      </c>
      <c r="AM282" t="s">
        <v>46</v>
      </c>
      <c r="AN282" t="s">
        <v>60</v>
      </c>
      <c r="AO282" t="s">
        <v>62</v>
      </c>
      <c r="AP282" t="s">
        <v>601</v>
      </c>
      <c r="AQ282" t="s">
        <v>66</v>
      </c>
      <c r="AR282" t="s">
        <v>67</v>
      </c>
    </row>
    <row r="283" spans="1:44">
      <c r="A283" s="1">
        <v>45427</v>
      </c>
      <c r="B283" s="2">
        <v>0.24631944444444445</v>
      </c>
      <c r="C283" t="s">
        <v>44</v>
      </c>
      <c r="D283" t="s">
        <v>45</v>
      </c>
      <c r="E283">
        <v>0.48399999999999999</v>
      </c>
      <c r="F283" t="s">
        <v>46</v>
      </c>
      <c r="G283" t="s">
        <v>47</v>
      </c>
      <c r="H283" t="s">
        <v>45</v>
      </c>
      <c r="I283">
        <v>0.31019999999999998</v>
      </c>
      <c r="J283" t="s">
        <v>46</v>
      </c>
      <c r="K283" t="s">
        <v>48</v>
      </c>
      <c r="L283" t="s">
        <v>49</v>
      </c>
      <c r="M283" t="s">
        <v>50</v>
      </c>
      <c r="N283" t="s">
        <v>51</v>
      </c>
      <c r="O283">
        <v>3.45</v>
      </c>
      <c r="P283">
        <v>8.26</v>
      </c>
      <c r="Q283" t="s">
        <v>46</v>
      </c>
      <c r="R283" t="s">
        <v>52</v>
      </c>
      <c r="S283" t="s">
        <v>53</v>
      </c>
      <c r="T283" t="s">
        <v>46</v>
      </c>
      <c r="U283" t="s">
        <v>54</v>
      </c>
      <c r="V283" t="s">
        <v>55</v>
      </c>
      <c r="W283" t="s">
        <v>56</v>
      </c>
      <c r="X283" t="s">
        <v>498</v>
      </c>
      <c r="Y283">
        <v>1.38</v>
      </c>
      <c r="Z283" t="s">
        <v>46</v>
      </c>
      <c r="AA283" t="s">
        <v>58</v>
      </c>
      <c r="AB283" t="s">
        <v>59</v>
      </c>
      <c r="AC283">
        <v>283</v>
      </c>
      <c r="AD283" t="s">
        <v>46</v>
      </c>
      <c r="AE283" t="s">
        <v>60</v>
      </c>
      <c r="AF283" t="s">
        <v>45</v>
      </c>
      <c r="AG283" t="s">
        <v>46</v>
      </c>
      <c r="AH283" t="s">
        <v>61</v>
      </c>
      <c r="AI283" t="s">
        <v>48</v>
      </c>
      <c r="AJ283" t="s">
        <v>62</v>
      </c>
      <c r="AK283" t="s">
        <v>63</v>
      </c>
      <c r="AL283" t="s">
        <v>376</v>
      </c>
      <c r="AM283" t="s">
        <v>46</v>
      </c>
      <c r="AN283" t="s">
        <v>60</v>
      </c>
      <c r="AO283" t="s">
        <v>62</v>
      </c>
      <c r="AP283" t="s">
        <v>602</v>
      </c>
      <c r="AQ283" t="s">
        <v>66</v>
      </c>
      <c r="AR283" t="s">
        <v>67</v>
      </c>
    </row>
    <row r="284" spans="1:44">
      <c r="A284" s="1">
        <v>45427</v>
      </c>
      <c r="B284" s="2">
        <v>0.24636574074074075</v>
      </c>
      <c r="C284" t="s">
        <v>44</v>
      </c>
      <c r="D284" t="s">
        <v>45</v>
      </c>
      <c r="E284">
        <v>0.57599999999999996</v>
      </c>
      <c r="F284" t="s">
        <v>46</v>
      </c>
      <c r="G284" t="s">
        <v>47</v>
      </c>
      <c r="H284" t="s">
        <v>45</v>
      </c>
      <c r="I284">
        <v>0.31019999999999998</v>
      </c>
      <c r="J284" t="s">
        <v>46</v>
      </c>
      <c r="K284" t="s">
        <v>48</v>
      </c>
      <c r="L284" t="s">
        <v>49</v>
      </c>
      <c r="M284" t="s">
        <v>50</v>
      </c>
      <c r="N284" t="s">
        <v>51</v>
      </c>
      <c r="O284">
        <v>3.45</v>
      </c>
      <c r="P284">
        <v>8.26</v>
      </c>
      <c r="Q284" t="s">
        <v>46</v>
      </c>
      <c r="R284" t="s">
        <v>52</v>
      </c>
      <c r="S284" t="s">
        <v>53</v>
      </c>
      <c r="T284" t="s">
        <v>46</v>
      </c>
      <c r="U284" t="s">
        <v>54</v>
      </c>
      <c r="V284" t="s">
        <v>55</v>
      </c>
      <c r="W284" t="s">
        <v>192</v>
      </c>
      <c r="X284" t="s">
        <v>213</v>
      </c>
      <c r="Y284">
        <v>1.38</v>
      </c>
      <c r="Z284" t="s">
        <v>46</v>
      </c>
      <c r="AA284" t="s">
        <v>58</v>
      </c>
      <c r="AB284" t="s">
        <v>59</v>
      </c>
      <c r="AC284">
        <v>283</v>
      </c>
      <c r="AD284" t="s">
        <v>46</v>
      </c>
      <c r="AE284" t="s">
        <v>60</v>
      </c>
      <c r="AF284" t="s">
        <v>45</v>
      </c>
      <c r="AG284" t="s">
        <v>46</v>
      </c>
      <c r="AH284" t="s">
        <v>61</v>
      </c>
      <c r="AI284" t="s">
        <v>48</v>
      </c>
      <c r="AJ284" t="s">
        <v>62</v>
      </c>
      <c r="AK284" t="s">
        <v>63</v>
      </c>
      <c r="AL284" t="s">
        <v>376</v>
      </c>
      <c r="AM284" t="s">
        <v>46</v>
      </c>
      <c r="AN284" t="s">
        <v>60</v>
      </c>
      <c r="AO284" t="s">
        <v>62</v>
      </c>
      <c r="AP284" t="s">
        <v>603</v>
      </c>
      <c r="AQ284" t="s">
        <v>66</v>
      </c>
      <c r="AR284" t="s">
        <v>67</v>
      </c>
    </row>
    <row r="285" spans="1:44">
      <c r="A285" s="1">
        <v>45427</v>
      </c>
      <c r="B285" s="2">
        <v>0.24641203703703704</v>
      </c>
      <c r="C285" t="s">
        <v>44</v>
      </c>
      <c r="D285" t="s">
        <v>45</v>
      </c>
      <c r="E285">
        <v>0.73699999999999999</v>
      </c>
      <c r="F285" t="s">
        <v>46</v>
      </c>
      <c r="G285" t="s">
        <v>47</v>
      </c>
      <c r="H285" t="s">
        <v>45</v>
      </c>
      <c r="I285">
        <v>0.31019999999999998</v>
      </c>
      <c r="J285" t="s">
        <v>46</v>
      </c>
      <c r="K285" t="s">
        <v>48</v>
      </c>
      <c r="L285" t="s">
        <v>49</v>
      </c>
      <c r="M285" t="s">
        <v>50</v>
      </c>
      <c r="N285" t="s">
        <v>51</v>
      </c>
      <c r="O285">
        <v>3.45</v>
      </c>
      <c r="P285">
        <v>8.26</v>
      </c>
      <c r="Q285" t="s">
        <v>46</v>
      </c>
      <c r="R285" t="s">
        <v>52</v>
      </c>
      <c r="S285" t="s">
        <v>53</v>
      </c>
      <c r="T285" t="s">
        <v>46</v>
      </c>
      <c r="U285" t="s">
        <v>54</v>
      </c>
      <c r="V285" t="s">
        <v>55</v>
      </c>
      <c r="W285" t="s">
        <v>141</v>
      </c>
      <c r="X285" t="s">
        <v>203</v>
      </c>
      <c r="Y285">
        <v>1.4</v>
      </c>
      <c r="Z285" t="s">
        <v>46</v>
      </c>
      <c r="AA285" t="s">
        <v>58</v>
      </c>
      <c r="AB285" t="s">
        <v>59</v>
      </c>
      <c r="AC285">
        <v>283</v>
      </c>
      <c r="AD285" t="s">
        <v>46</v>
      </c>
      <c r="AE285" t="s">
        <v>60</v>
      </c>
      <c r="AF285" t="s">
        <v>45</v>
      </c>
      <c r="AG285" t="s">
        <v>46</v>
      </c>
      <c r="AH285" t="s">
        <v>61</v>
      </c>
      <c r="AI285" t="s">
        <v>48</v>
      </c>
      <c r="AJ285" t="s">
        <v>62</v>
      </c>
      <c r="AK285" t="s">
        <v>63</v>
      </c>
      <c r="AL285" t="s">
        <v>376</v>
      </c>
      <c r="AM285" t="s">
        <v>46</v>
      </c>
      <c r="AN285" t="s">
        <v>60</v>
      </c>
      <c r="AO285" t="s">
        <v>62</v>
      </c>
      <c r="AP285" t="s">
        <v>604</v>
      </c>
      <c r="AQ285" t="s">
        <v>66</v>
      </c>
      <c r="AR285" t="s">
        <v>67</v>
      </c>
    </row>
    <row r="286" spans="1:44">
      <c r="A286" s="1">
        <v>45427</v>
      </c>
      <c r="B286" s="2">
        <v>0.24645833333333333</v>
      </c>
      <c r="C286" t="s">
        <v>44</v>
      </c>
      <c r="D286" t="s">
        <v>45</v>
      </c>
      <c r="E286">
        <v>0.53100000000000003</v>
      </c>
      <c r="F286" t="s">
        <v>46</v>
      </c>
      <c r="G286" t="s">
        <v>47</v>
      </c>
      <c r="H286" t="s">
        <v>45</v>
      </c>
      <c r="I286">
        <v>0.31019999999999998</v>
      </c>
      <c r="J286" t="s">
        <v>46</v>
      </c>
      <c r="K286" t="s">
        <v>48</v>
      </c>
      <c r="L286" t="s">
        <v>49</v>
      </c>
      <c r="M286" t="s">
        <v>50</v>
      </c>
      <c r="N286" t="s">
        <v>51</v>
      </c>
      <c r="O286">
        <v>3.45</v>
      </c>
      <c r="P286">
        <v>8.26</v>
      </c>
      <c r="Q286" t="s">
        <v>46</v>
      </c>
      <c r="R286" t="s">
        <v>52</v>
      </c>
      <c r="S286" t="s">
        <v>53</v>
      </c>
      <c r="T286" t="s">
        <v>46</v>
      </c>
      <c r="U286" t="s">
        <v>54</v>
      </c>
      <c r="V286" t="s">
        <v>55</v>
      </c>
      <c r="W286" t="s">
        <v>144</v>
      </c>
      <c r="X286" t="s">
        <v>132</v>
      </c>
      <c r="Y286">
        <v>1.4</v>
      </c>
      <c r="Z286" t="s">
        <v>46</v>
      </c>
      <c r="AA286" t="s">
        <v>58</v>
      </c>
      <c r="AB286" t="s">
        <v>59</v>
      </c>
      <c r="AC286">
        <v>283</v>
      </c>
      <c r="AD286" t="s">
        <v>46</v>
      </c>
      <c r="AE286" t="s">
        <v>60</v>
      </c>
      <c r="AF286" t="s">
        <v>45</v>
      </c>
      <c r="AG286" t="s">
        <v>46</v>
      </c>
      <c r="AH286" t="s">
        <v>61</v>
      </c>
      <c r="AI286" t="s">
        <v>48</v>
      </c>
      <c r="AJ286" t="s">
        <v>62</v>
      </c>
      <c r="AK286" t="s">
        <v>63</v>
      </c>
      <c r="AL286" t="s">
        <v>376</v>
      </c>
      <c r="AM286" t="s">
        <v>46</v>
      </c>
      <c r="AN286" t="s">
        <v>60</v>
      </c>
      <c r="AO286" t="s">
        <v>62</v>
      </c>
      <c r="AP286" t="s">
        <v>605</v>
      </c>
      <c r="AQ286" t="s">
        <v>66</v>
      </c>
      <c r="AR286" t="s">
        <v>67</v>
      </c>
    </row>
    <row r="287" spans="1:44">
      <c r="A287" s="1">
        <v>45427</v>
      </c>
      <c r="B287" s="2">
        <v>0.2465162037037037</v>
      </c>
      <c r="C287" t="s">
        <v>44</v>
      </c>
      <c r="D287" t="s">
        <v>45</v>
      </c>
      <c r="E287">
        <v>0.58799999999999997</v>
      </c>
      <c r="F287" t="s">
        <v>46</v>
      </c>
      <c r="G287" t="s">
        <v>47</v>
      </c>
      <c r="H287" t="s">
        <v>45</v>
      </c>
      <c r="I287">
        <v>0.31040000000000001</v>
      </c>
      <c r="J287" t="s">
        <v>46</v>
      </c>
      <c r="K287" t="s">
        <v>48</v>
      </c>
      <c r="L287" t="s">
        <v>49</v>
      </c>
      <c r="M287" t="s">
        <v>50</v>
      </c>
      <c r="N287" t="s">
        <v>51</v>
      </c>
      <c r="O287">
        <v>3.45</v>
      </c>
      <c r="P287">
        <v>8.26</v>
      </c>
      <c r="Q287" t="s">
        <v>46</v>
      </c>
      <c r="R287" t="s">
        <v>52</v>
      </c>
      <c r="S287" t="s">
        <v>53</v>
      </c>
      <c r="T287" t="s">
        <v>46</v>
      </c>
      <c r="U287" t="s">
        <v>54</v>
      </c>
      <c r="V287" t="s">
        <v>55</v>
      </c>
      <c r="W287" t="s">
        <v>146</v>
      </c>
      <c r="X287" t="s">
        <v>56</v>
      </c>
      <c r="Y287">
        <v>1.39</v>
      </c>
      <c r="Z287" t="s">
        <v>46</v>
      </c>
      <c r="AA287" t="s">
        <v>58</v>
      </c>
      <c r="AB287" t="s">
        <v>59</v>
      </c>
      <c r="AC287">
        <v>283</v>
      </c>
      <c r="AD287" t="s">
        <v>46</v>
      </c>
      <c r="AE287" t="s">
        <v>60</v>
      </c>
      <c r="AF287" t="s">
        <v>45</v>
      </c>
      <c r="AG287" t="s">
        <v>46</v>
      </c>
      <c r="AH287" t="s">
        <v>61</v>
      </c>
      <c r="AI287" t="s">
        <v>48</v>
      </c>
      <c r="AJ287" t="s">
        <v>62</v>
      </c>
      <c r="AK287" t="s">
        <v>63</v>
      </c>
      <c r="AL287" t="s">
        <v>376</v>
      </c>
      <c r="AM287" t="s">
        <v>46</v>
      </c>
      <c r="AN287" t="s">
        <v>60</v>
      </c>
      <c r="AO287" t="s">
        <v>62</v>
      </c>
      <c r="AP287" t="s">
        <v>606</v>
      </c>
      <c r="AQ287" t="s">
        <v>66</v>
      </c>
      <c r="AR287" t="s">
        <v>67</v>
      </c>
    </row>
    <row r="288" spans="1:44">
      <c r="A288" s="1">
        <v>45427</v>
      </c>
      <c r="B288" s="2">
        <v>0.24656249999999999</v>
      </c>
      <c r="C288" t="s">
        <v>44</v>
      </c>
      <c r="D288" t="s">
        <v>45</v>
      </c>
      <c r="E288">
        <v>1</v>
      </c>
      <c r="F288" t="s">
        <v>46</v>
      </c>
      <c r="G288" t="s">
        <v>47</v>
      </c>
      <c r="H288" t="s">
        <v>45</v>
      </c>
      <c r="I288">
        <v>0.31</v>
      </c>
      <c r="J288" t="s">
        <v>46</v>
      </c>
      <c r="K288" t="s">
        <v>48</v>
      </c>
      <c r="L288" t="s">
        <v>49</v>
      </c>
      <c r="M288" t="s">
        <v>50</v>
      </c>
      <c r="N288" t="s">
        <v>51</v>
      </c>
      <c r="O288">
        <v>3.45</v>
      </c>
      <c r="P288">
        <v>8.26</v>
      </c>
      <c r="Q288" t="s">
        <v>46</v>
      </c>
      <c r="R288" t="s">
        <v>52</v>
      </c>
      <c r="S288" t="s">
        <v>53</v>
      </c>
      <c r="T288" t="s">
        <v>46</v>
      </c>
      <c r="U288" t="s">
        <v>54</v>
      </c>
      <c r="V288" t="s">
        <v>55</v>
      </c>
      <c r="W288" t="s">
        <v>132</v>
      </c>
      <c r="X288" t="s">
        <v>74</v>
      </c>
      <c r="Y288">
        <v>1.39</v>
      </c>
      <c r="Z288" t="s">
        <v>46</v>
      </c>
      <c r="AA288" t="s">
        <v>58</v>
      </c>
      <c r="AB288" t="s">
        <v>59</v>
      </c>
      <c r="AC288">
        <v>284</v>
      </c>
      <c r="AD288" t="s">
        <v>46</v>
      </c>
      <c r="AE288" t="s">
        <v>60</v>
      </c>
      <c r="AF288" t="s">
        <v>45</v>
      </c>
      <c r="AG288" t="s">
        <v>46</v>
      </c>
      <c r="AH288" t="s">
        <v>61</v>
      </c>
      <c r="AI288" t="s">
        <v>48</v>
      </c>
      <c r="AJ288" t="s">
        <v>62</v>
      </c>
      <c r="AK288" t="s">
        <v>63</v>
      </c>
      <c r="AL288" t="s">
        <v>376</v>
      </c>
      <c r="AM288" t="s">
        <v>46</v>
      </c>
      <c r="AN288" t="s">
        <v>60</v>
      </c>
      <c r="AO288" t="s">
        <v>62</v>
      </c>
      <c r="AP288" t="s">
        <v>607</v>
      </c>
      <c r="AQ288" t="s">
        <v>66</v>
      </c>
      <c r="AR288" t="s">
        <v>67</v>
      </c>
    </row>
    <row r="289" spans="1:44">
      <c r="A289" s="1">
        <v>45427</v>
      </c>
      <c r="B289" s="2">
        <v>0.24660879629629628</v>
      </c>
      <c r="C289" t="s">
        <v>44</v>
      </c>
      <c r="D289" t="s">
        <v>45</v>
      </c>
      <c r="E289">
        <v>0.58799999999999997</v>
      </c>
      <c r="F289" t="s">
        <v>46</v>
      </c>
      <c r="G289" t="s">
        <v>47</v>
      </c>
      <c r="H289" t="s">
        <v>45</v>
      </c>
      <c r="I289">
        <v>0.31009999999999999</v>
      </c>
      <c r="J289" t="s">
        <v>46</v>
      </c>
      <c r="K289" t="s">
        <v>48</v>
      </c>
      <c r="L289" t="s">
        <v>49</v>
      </c>
      <c r="M289" t="s">
        <v>50</v>
      </c>
      <c r="N289" t="s">
        <v>51</v>
      </c>
      <c r="O289">
        <v>3.45</v>
      </c>
      <c r="P289">
        <v>8.26</v>
      </c>
      <c r="Q289" t="s">
        <v>46</v>
      </c>
      <c r="R289" t="s">
        <v>52</v>
      </c>
      <c r="S289" t="s">
        <v>53</v>
      </c>
      <c r="T289" t="s">
        <v>46</v>
      </c>
      <c r="U289" t="s">
        <v>54</v>
      </c>
      <c r="V289" t="s">
        <v>55</v>
      </c>
      <c r="W289" t="s">
        <v>132</v>
      </c>
      <c r="X289" t="s">
        <v>74</v>
      </c>
      <c r="Y289">
        <v>1.39</v>
      </c>
      <c r="Z289" t="s">
        <v>46</v>
      </c>
      <c r="AA289" t="s">
        <v>58</v>
      </c>
      <c r="AB289" t="s">
        <v>59</v>
      </c>
      <c r="AC289">
        <v>283</v>
      </c>
      <c r="AD289" t="s">
        <v>46</v>
      </c>
      <c r="AE289" t="s">
        <v>60</v>
      </c>
      <c r="AF289" t="s">
        <v>45</v>
      </c>
      <c r="AG289" t="s">
        <v>46</v>
      </c>
      <c r="AH289" t="s">
        <v>61</v>
      </c>
      <c r="AI289" t="s">
        <v>48</v>
      </c>
      <c r="AJ289" t="s">
        <v>62</v>
      </c>
      <c r="AK289" t="s">
        <v>63</v>
      </c>
      <c r="AL289" t="s">
        <v>376</v>
      </c>
      <c r="AM289" t="s">
        <v>46</v>
      </c>
      <c r="AN289" t="s">
        <v>60</v>
      </c>
      <c r="AO289" t="s">
        <v>62</v>
      </c>
      <c r="AP289" t="s">
        <v>608</v>
      </c>
      <c r="AQ289" t="s">
        <v>66</v>
      </c>
      <c r="AR289" t="s">
        <v>67</v>
      </c>
    </row>
    <row r="290" spans="1:44">
      <c r="A290" s="1">
        <v>45427</v>
      </c>
      <c r="B290" s="2">
        <v>0.24665509259259261</v>
      </c>
      <c r="C290" t="s">
        <v>44</v>
      </c>
      <c r="D290" t="s">
        <v>45</v>
      </c>
      <c r="E290">
        <v>0.52900000000000003</v>
      </c>
      <c r="F290" t="s">
        <v>46</v>
      </c>
      <c r="G290" t="s">
        <v>47</v>
      </c>
      <c r="H290" t="s">
        <v>45</v>
      </c>
      <c r="I290">
        <v>0.31030000000000002</v>
      </c>
      <c r="J290" t="s">
        <v>46</v>
      </c>
      <c r="K290" t="s">
        <v>48</v>
      </c>
      <c r="L290" t="s">
        <v>49</v>
      </c>
      <c r="M290" t="s">
        <v>50</v>
      </c>
      <c r="N290" t="s">
        <v>51</v>
      </c>
      <c r="O290">
        <v>3.45</v>
      </c>
      <c r="P290">
        <v>8.26</v>
      </c>
      <c r="Q290" t="s">
        <v>46</v>
      </c>
      <c r="R290" t="s">
        <v>52</v>
      </c>
      <c r="S290" t="s">
        <v>53</v>
      </c>
      <c r="T290" t="s">
        <v>46</v>
      </c>
      <c r="U290" t="s">
        <v>54</v>
      </c>
      <c r="V290" t="s">
        <v>55</v>
      </c>
      <c r="W290" t="s">
        <v>498</v>
      </c>
      <c r="X290" t="s">
        <v>498</v>
      </c>
      <c r="Y290">
        <v>1.39</v>
      </c>
      <c r="Z290" t="s">
        <v>46</v>
      </c>
      <c r="AA290" t="s">
        <v>58</v>
      </c>
      <c r="AB290" t="s">
        <v>59</v>
      </c>
      <c r="AC290">
        <v>283</v>
      </c>
      <c r="AD290" t="s">
        <v>46</v>
      </c>
      <c r="AE290" t="s">
        <v>60</v>
      </c>
      <c r="AF290" t="s">
        <v>45</v>
      </c>
      <c r="AG290" t="s">
        <v>46</v>
      </c>
      <c r="AH290" t="s">
        <v>61</v>
      </c>
      <c r="AI290" t="s">
        <v>48</v>
      </c>
      <c r="AJ290" t="s">
        <v>62</v>
      </c>
      <c r="AK290" t="s">
        <v>63</v>
      </c>
      <c r="AL290" t="s">
        <v>376</v>
      </c>
      <c r="AM290" t="s">
        <v>46</v>
      </c>
      <c r="AN290" t="s">
        <v>60</v>
      </c>
      <c r="AO290" t="s">
        <v>62</v>
      </c>
      <c r="AP290" t="s">
        <v>609</v>
      </c>
      <c r="AQ290" t="s">
        <v>66</v>
      </c>
      <c r="AR290" t="s">
        <v>67</v>
      </c>
    </row>
    <row r="291" spans="1:44">
      <c r="A291" s="1">
        <v>45427</v>
      </c>
      <c r="B291" s="2">
        <v>0.24671296296296297</v>
      </c>
      <c r="C291" t="s">
        <v>44</v>
      </c>
      <c r="D291" t="s">
        <v>45</v>
      </c>
      <c r="E291">
        <v>0.72699999999999998</v>
      </c>
      <c r="F291" t="s">
        <v>46</v>
      </c>
      <c r="G291" t="s">
        <v>47</v>
      </c>
      <c r="H291" t="s">
        <v>45</v>
      </c>
      <c r="I291">
        <v>0.31019999999999998</v>
      </c>
      <c r="J291" t="s">
        <v>46</v>
      </c>
      <c r="K291" t="s">
        <v>48</v>
      </c>
      <c r="L291" t="s">
        <v>49</v>
      </c>
      <c r="M291" t="s">
        <v>50</v>
      </c>
      <c r="N291" t="s">
        <v>51</v>
      </c>
      <c r="O291">
        <v>3.45</v>
      </c>
      <c r="P291">
        <v>8.26</v>
      </c>
      <c r="Q291" t="s">
        <v>46</v>
      </c>
      <c r="R291" t="s">
        <v>52</v>
      </c>
      <c r="S291" t="s">
        <v>53</v>
      </c>
      <c r="T291" t="s">
        <v>46</v>
      </c>
      <c r="U291" t="s">
        <v>54</v>
      </c>
      <c r="V291" t="s">
        <v>55</v>
      </c>
      <c r="W291" t="s">
        <v>460</v>
      </c>
      <c r="X291" t="s">
        <v>498</v>
      </c>
      <c r="Y291">
        <v>1.38</v>
      </c>
      <c r="Z291" t="s">
        <v>46</v>
      </c>
      <c r="AA291" t="s">
        <v>58</v>
      </c>
      <c r="AB291" t="s">
        <v>59</v>
      </c>
      <c r="AC291">
        <v>283</v>
      </c>
      <c r="AD291" t="s">
        <v>46</v>
      </c>
      <c r="AE291" t="s">
        <v>60</v>
      </c>
      <c r="AF291" t="s">
        <v>45</v>
      </c>
      <c r="AG291" t="s">
        <v>46</v>
      </c>
      <c r="AH291" t="s">
        <v>61</v>
      </c>
      <c r="AI291" t="s">
        <v>48</v>
      </c>
      <c r="AJ291" t="s">
        <v>62</v>
      </c>
      <c r="AK291" t="s">
        <v>63</v>
      </c>
      <c r="AL291" t="s">
        <v>376</v>
      </c>
      <c r="AM291" t="s">
        <v>46</v>
      </c>
      <c r="AN291" t="s">
        <v>60</v>
      </c>
      <c r="AO291" t="s">
        <v>62</v>
      </c>
      <c r="AP291" t="s">
        <v>610</v>
      </c>
      <c r="AQ291" t="s">
        <v>66</v>
      </c>
      <c r="AR291" t="s">
        <v>67</v>
      </c>
    </row>
    <row r="292" spans="1:44">
      <c r="A292" s="1">
        <v>45427</v>
      </c>
      <c r="B292" s="2">
        <v>0.24675925925925926</v>
      </c>
      <c r="C292" t="s">
        <v>44</v>
      </c>
      <c r="D292" t="s">
        <v>45</v>
      </c>
      <c r="E292">
        <v>0.56200000000000006</v>
      </c>
      <c r="F292" t="s">
        <v>46</v>
      </c>
      <c r="G292" t="s">
        <v>47</v>
      </c>
      <c r="H292" t="s">
        <v>45</v>
      </c>
      <c r="I292">
        <v>0.31040000000000001</v>
      </c>
      <c r="J292" t="s">
        <v>46</v>
      </c>
      <c r="K292" t="s">
        <v>48</v>
      </c>
      <c r="L292" t="s">
        <v>49</v>
      </c>
      <c r="M292" t="s">
        <v>50</v>
      </c>
      <c r="N292" t="s">
        <v>51</v>
      </c>
      <c r="O292">
        <v>3.45</v>
      </c>
      <c r="P292">
        <v>8.26</v>
      </c>
      <c r="Q292" t="s">
        <v>46</v>
      </c>
      <c r="R292" t="s">
        <v>52</v>
      </c>
      <c r="S292" t="s">
        <v>53</v>
      </c>
      <c r="T292" t="s">
        <v>46</v>
      </c>
      <c r="U292" t="s">
        <v>54</v>
      </c>
      <c r="V292" t="s">
        <v>55</v>
      </c>
      <c r="W292" t="s">
        <v>340</v>
      </c>
      <c r="X292" t="s">
        <v>213</v>
      </c>
      <c r="Y292">
        <v>1.38</v>
      </c>
      <c r="Z292" t="s">
        <v>46</v>
      </c>
      <c r="AA292" t="s">
        <v>58</v>
      </c>
      <c r="AB292" t="s">
        <v>59</v>
      </c>
      <c r="AC292">
        <v>283</v>
      </c>
      <c r="AD292" t="s">
        <v>46</v>
      </c>
      <c r="AE292" t="s">
        <v>60</v>
      </c>
      <c r="AF292" t="s">
        <v>45</v>
      </c>
      <c r="AG292" t="s">
        <v>46</v>
      </c>
      <c r="AH292" t="s">
        <v>61</v>
      </c>
      <c r="AI292" t="s">
        <v>48</v>
      </c>
      <c r="AJ292" t="s">
        <v>62</v>
      </c>
      <c r="AK292" t="s">
        <v>63</v>
      </c>
      <c r="AL292" t="s">
        <v>376</v>
      </c>
      <c r="AM292" t="s">
        <v>46</v>
      </c>
      <c r="AN292" t="s">
        <v>60</v>
      </c>
      <c r="AO292" t="s">
        <v>62</v>
      </c>
      <c r="AP292" t="s">
        <v>611</v>
      </c>
      <c r="AQ292" t="s">
        <v>66</v>
      </c>
      <c r="AR292" t="s">
        <v>67</v>
      </c>
    </row>
    <row r="293" spans="1:44">
      <c r="A293" s="1">
        <v>45427</v>
      </c>
      <c r="B293" s="2">
        <v>0.24680555555555556</v>
      </c>
      <c r="C293" t="s">
        <v>44</v>
      </c>
      <c r="D293" t="s">
        <v>45</v>
      </c>
      <c r="E293">
        <v>0.55900000000000005</v>
      </c>
      <c r="F293" t="s">
        <v>46</v>
      </c>
      <c r="G293" t="s">
        <v>47</v>
      </c>
      <c r="H293" t="s">
        <v>45</v>
      </c>
      <c r="I293">
        <v>0.31040000000000001</v>
      </c>
      <c r="J293" t="s">
        <v>46</v>
      </c>
      <c r="K293" t="s">
        <v>48</v>
      </c>
      <c r="L293" t="s">
        <v>49</v>
      </c>
      <c r="M293" t="s">
        <v>50</v>
      </c>
      <c r="N293" t="s">
        <v>51</v>
      </c>
      <c r="O293">
        <v>3.45</v>
      </c>
      <c r="P293">
        <v>8.26</v>
      </c>
      <c r="Q293" t="s">
        <v>46</v>
      </c>
      <c r="R293" t="s">
        <v>52</v>
      </c>
      <c r="S293" t="s">
        <v>53</v>
      </c>
      <c r="T293" t="s">
        <v>46</v>
      </c>
      <c r="U293" t="s">
        <v>54</v>
      </c>
      <c r="V293" t="s">
        <v>55</v>
      </c>
      <c r="W293" t="s">
        <v>68</v>
      </c>
      <c r="X293" t="s">
        <v>192</v>
      </c>
      <c r="Y293">
        <v>1.38</v>
      </c>
      <c r="Z293" t="s">
        <v>46</v>
      </c>
      <c r="AA293" t="s">
        <v>58</v>
      </c>
      <c r="AB293" t="s">
        <v>59</v>
      </c>
      <c r="AC293">
        <v>283</v>
      </c>
      <c r="AD293" t="s">
        <v>46</v>
      </c>
      <c r="AE293" t="s">
        <v>60</v>
      </c>
      <c r="AF293" t="s">
        <v>45</v>
      </c>
      <c r="AG293" t="s">
        <v>46</v>
      </c>
      <c r="AH293" t="s">
        <v>61</v>
      </c>
      <c r="AI293" t="s">
        <v>48</v>
      </c>
      <c r="AJ293" t="s">
        <v>62</v>
      </c>
      <c r="AK293" t="s">
        <v>63</v>
      </c>
      <c r="AL293" t="s">
        <v>376</v>
      </c>
      <c r="AM293" t="s">
        <v>46</v>
      </c>
      <c r="AN293" t="s">
        <v>60</v>
      </c>
      <c r="AO293" t="s">
        <v>62</v>
      </c>
      <c r="AP293" t="s">
        <v>612</v>
      </c>
      <c r="AQ293" t="s">
        <v>66</v>
      </c>
      <c r="AR293" t="s">
        <v>67</v>
      </c>
    </row>
    <row r="294" spans="1:44">
      <c r="A294" s="1">
        <v>45427</v>
      </c>
      <c r="B294" s="2">
        <v>0.24685185185185185</v>
      </c>
      <c r="C294" t="s">
        <v>44</v>
      </c>
      <c r="D294" t="s">
        <v>45</v>
      </c>
      <c r="E294">
        <v>0.76500000000000001</v>
      </c>
      <c r="F294" t="s">
        <v>46</v>
      </c>
      <c r="G294" t="s">
        <v>47</v>
      </c>
      <c r="H294" t="s">
        <v>45</v>
      </c>
      <c r="I294">
        <v>0.31009999999999999</v>
      </c>
      <c r="J294" t="s">
        <v>46</v>
      </c>
      <c r="K294" t="s">
        <v>48</v>
      </c>
      <c r="L294" t="s">
        <v>49</v>
      </c>
      <c r="M294" t="s">
        <v>50</v>
      </c>
      <c r="N294" t="s">
        <v>51</v>
      </c>
      <c r="O294">
        <v>3.45</v>
      </c>
      <c r="P294">
        <v>8.26</v>
      </c>
      <c r="Q294" t="s">
        <v>46</v>
      </c>
      <c r="R294" t="s">
        <v>52</v>
      </c>
      <c r="S294" t="s">
        <v>53</v>
      </c>
      <c r="T294" t="s">
        <v>46</v>
      </c>
      <c r="U294" t="s">
        <v>54</v>
      </c>
      <c r="V294" t="s">
        <v>55</v>
      </c>
      <c r="W294" t="s">
        <v>330</v>
      </c>
      <c r="X294" t="s">
        <v>460</v>
      </c>
      <c r="Y294">
        <v>1.38</v>
      </c>
      <c r="Z294" t="s">
        <v>46</v>
      </c>
      <c r="AA294" t="s">
        <v>58</v>
      </c>
      <c r="AB294" t="s">
        <v>59</v>
      </c>
      <c r="AC294">
        <v>283</v>
      </c>
      <c r="AD294" t="s">
        <v>46</v>
      </c>
      <c r="AE294" t="s">
        <v>60</v>
      </c>
      <c r="AF294" t="s">
        <v>45</v>
      </c>
      <c r="AG294" t="s">
        <v>46</v>
      </c>
      <c r="AH294" t="s">
        <v>61</v>
      </c>
      <c r="AI294" t="s">
        <v>48</v>
      </c>
      <c r="AJ294" t="s">
        <v>62</v>
      </c>
      <c r="AK294" t="s">
        <v>63</v>
      </c>
      <c r="AL294" t="s">
        <v>376</v>
      </c>
      <c r="AM294" t="s">
        <v>46</v>
      </c>
      <c r="AN294" t="s">
        <v>60</v>
      </c>
      <c r="AO294" t="s">
        <v>62</v>
      </c>
      <c r="AP294" t="s">
        <v>613</v>
      </c>
      <c r="AQ294" t="s">
        <v>66</v>
      </c>
      <c r="AR294" t="s">
        <v>67</v>
      </c>
    </row>
    <row r="295" spans="1:44">
      <c r="A295" s="1">
        <v>45427</v>
      </c>
      <c r="B295" s="2">
        <v>0.24690972222222221</v>
      </c>
      <c r="C295" t="s">
        <v>44</v>
      </c>
      <c r="D295" t="s">
        <v>45</v>
      </c>
      <c r="E295">
        <v>0.60599999999999998</v>
      </c>
      <c r="F295" t="s">
        <v>46</v>
      </c>
      <c r="G295" t="s">
        <v>47</v>
      </c>
      <c r="H295" t="s">
        <v>45</v>
      </c>
      <c r="I295">
        <v>0.31019999999999998</v>
      </c>
      <c r="J295" t="s">
        <v>46</v>
      </c>
      <c r="K295" t="s">
        <v>48</v>
      </c>
      <c r="L295" t="s">
        <v>49</v>
      </c>
      <c r="M295" t="s">
        <v>50</v>
      </c>
      <c r="N295" t="s">
        <v>51</v>
      </c>
      <c r="O295">
        <v>3.45</v>
      </c>
      <c r="P295">
        <v>8.26</v>
      </c>
      <c r="Q295" t="s">
        <v>46</v>
      </c>
      <c r="R295" t="s">
        <v>52</v>
      </c>
      <c r="S295" t="s">
        <v>53</v>
      </c>
      <c r="T295" t="s">
        <v>46</v>
      </c>
      <c r="U295" t="s">
        <v>54</v>
      </c>
      <c r="V295" t="s">
        <v>55</v>
      </c>
      <c r="W295" t="s">
        <v>152</v>
      </c>
      <c r="X295" t="s">
        <v>460</v>
      </c>
      <c r="Y295">
        <v>1.37</v>
      </c>
      <c r="Z295" t="s">
        <v>46</v>
      </c>
      <c r="AA295" t="s">
        <v>58</v>
      </c>
      <c r="AB295" t="s">
        <v>59</v>
      </c>
      <c r="AC295">
        <v>283</v>
      </c>
      <c r="AD295" t="s">
        <v>46</v>
      </c>
      <c r="AE295" t="s">
        <v>60</v>
      </c>
      <c r="AF295" t="s">
        <v>45</v>
      </c>
      <c r="AG295" t="s">
        <v>46</v>
      </c>
      <c r="AH295" t="s">
        <v>61</v>
      </c>
      <c r="AI295" t="s">
        <v>48</v>
      </c>
      <c r="AJ295" t="s">
        <v>62</v>
      </c>
      <c r="AK295" t="s">
        <v>63</v>
      </c>
      <c r="AL295" t="s">
        <v>376</v>
      </c>
      <c r="AM295" t="s">
        <v>46</v>
      </c>
      <c r="AN295" t="s">
        <v>60</v>
      </c>
      <c r="AO295" t="s">
        <v>62</v>
      </c>
      <c r="AP295" t="s">
        <v>614</v>
      </c>
      <c r="AQ295" t="s">
        <v>66</v>
      </c>
      <c r="AR295" t="s">
        <v>67</v>
      </c>
    </row>
    <row r="296" spans="1:44">
      <c r="A296" s="1">
        <v>45427</v>
      </c>
      <c r="B296" s="2">
        <v>0.24695601851851851</v>
      </c>
      <c r="C296" t="s">
        <v>44</v>
      </c>
      <c r="D296" t="s">
        <v>45</v>
      </c>
      <c r="E296">
        <v>0.54300000000000004</v>
      </c>
      <c r="F296" t="s">
        <v>46</v>
      </c>
      <c r="G296" t="s">
        <v>47</v>
      </c>
      <c r="H296" t="s">
        <v>45</v>
      </c>
      <c r="I296">
        <v>0.31019999999999998</v>
      </c>
      <c r="J296" t="s">
        <v>46</v>
      </c>
      <c r="K296" t="s">
        <v>48</v>
      </c>
      <c r="L296" t="s">
        <v>49</v>
      </c>
      <c r="M296" t="s">
        <v>50</v>
      </c>
      <c r="N296" t="s">
        <v>51</v>
      </c>
      <c r="O296">
        <v>3.45</v>
      </c>
      <c r="P296">
        <v>8.26</v>
      </c>
      <c r="Q296" t="s">
        <v>46</v>
      </c>
      <c r="R296" t="s">
        <v>52</v>
      </c>
      <c r="S296" t="s">
        <v>53</v>
      </c>
      <c r="T296" t="s">
        <v>46</v>
      </c>
      <c r="U296" t="s">
        <v>54</v>
      </c>
      <c r="V296" t="s">
        <v>55</v>
      </c>
      <c r="W296" t="s">
        <v>152</v>
      </c>
      <c r="X296" t="s">
        <v>460</v>
      </c>
      <c r="Y296">
        <v>1.37</v>
      </c>
      <c r="Z296" t="s">
        <v>46</v>
      </c>
      <c r="AA296" t="s">
        <v>58</v>
      </c>
      <c r="AB296" t="s">
        <v>59</v>
      </c>
      <c r="AC296">
        <v>283</v>
      </c>
      <c r="AD296" t="s">
        <v>46</v>
      </c>
      <c r="AE296" t="s">
        <v>60</v>
      </c>
      <c r="AF296" t="s">
        <v>45</v>
      </c>
      <c r="AG296" t="s">
        <v>46</v>
      </c>
      <c r="AH296" t="s">
        <v>61</v>
      </c>
      <c r="AI296" t="s">
        <v>48</v>
      </c>
      <c r="AJ296" t="s">
        <v>62</v>
      </c>
      <c r="AK296" t="s">
        <v>63</v>
      </c>
      <c r="AL296" t="s">
        <v>376</v>
      </c>
      <c r="AM296" t="s">
        <v>46</v>
      </c>
      <c r="AN296" t="s">
        <v>60</v>
      </c>
      <c r="AO296" t="s">
        <v>62</v>
      </c>
      <c r="AP296" t="s">
        <v>615</v>
      </c>
      <c r="AQ296" t="s">
        <v>66</v>
      </c>
      <c r="AR296" t="s">
        <v>67</v>
      </c>
    </row>
    <row r="297" spans="1:44">
      <c r="A297" s="1">
        <v>45427</v>
      </c>
      <c r="B297" s="2">
        <v>0.24700231481481483</v>
      </c>
      <c r="C297" t="s">
        <v>44</v>
      </c>
      <c r="D297" t="s">
        <v>45</v>
      </c>
      <c r="E297">
        <v>0.78800000000000003</v>
      </c>
      <c r="F297" t="s">
        <v>46</v>
      </c>
      <c r="G297" t="s">
        <v>47</v>
      </c>
      <c r="H297" t="s">
        <v>45</v>
      </c>
      <c r="I297">
        <v>0.31040000000000001</v>
      </c>
      <c r="J297" t="s">
        <v>46</v>
      </c>
      <c r="K297" t="s">
        <v>48</v>
      </c>
      <c r="L297" t="s">
        <v>49</v>
      </c>
      <c r="M297" t="s">
        <v>50</v>
      </c>
      <c r="N297" t="s">
        <v>51</v>
      </c>
      <c r="O297">
        <v>3.45</v>
      </c>
      <c r="P297">
        <v>8.26</v>
      </c>
      <c r="Q297" t="s">
        <v>46</v>
      </c>
      <c r="R297" t="s">
        <v>52</v>
      </c>
      <c r="S297" t="s">
        <v>53</v>
      </c>
      <c r="T297" t="s">
        <v>46</v>
      </c>
      <c r="U297" t="s">
        <v>54</v>
      </c>
      <c r="V297" t="s">
        <v>55</v>
      </c>
      <c r="W297" t="s">
        <v>179</v>
      </c>
      <c r="X297" t="s">
        <v>74</v>
      </c>
      <c r="Y297">
        <v>1.39</v>
      </c>
      <c r="Z297" t="s">
        <v>46</v>
      </c>
      <c r="AA297" t="s">
        <v>58</v>
      </c>
      <c r="AB297" t="s">
        <v>59</v>
      </c>
      <c r="AC297">
        <v>283</v>
      </c>
      <c r="AD297" t="s">
        <v>46</v>
      </c>
      <c r="AE297" t="s">
        <v>60</v>
      </c>
      <c r="AF297" t="s">
        <v>45</v>
      </c>
      <c r="AG297" t="s">
        <v>46</v>
      </c>
      <c r="AH297" t="s">
        <v>61</v>
      </c>
      <c r="AI297" t="s">
        <v>48</v>
      </c>
      <c r="AJ297" t="s">
        <v>62</v>
      </c>
      <c r="AK297" t="s">
        <v>63</v>
      </c>
      <c r="AL297" t="s">
        <v>376</v>
      </c>
      <c r="AM297" t="s">
        <v>46</v>
      </c>
      <c r="AN297" t="s">
        <v>60</v>
      </c>
      <c r="AO297" t="s">
        <v>62</v>
      </c>
      <c r="AP297" t="s">
        <v>616</v>
      </c>
      <c r="AQ297" t="s">
        <v>66</v>
      </c>
      <c r="AR297" t="s">
        <v>67</v>
      </c>
    </row>
    <row r="298" spans="1:44">
      <c r="A298" s="1">
        <v>45427</v>
      </c>
      <c r="B298" s="2">
        <v>0.24704861111111112</v>
      </c>
      <c r="C298" t="s">
        <v>44</v>
      </c>
      <c r="D298" t="s">
        <v>45</v>
      </c>
      <c r="E298">
        <v>0.54500000000000004</v>
      </c>
      <c r="F298" t="s">
        <v>46</v>
      </c>
      <c r="G298" t="s">
        <v>47</v>
      </c>
      <c r="H298" t="s">
        <v>45</v>
      </c>
      <c r="I298">
        <v>0.30930000000000002</v>
      </c>
      <c r="J298" t="s">
        <v>46</v>
      </c>
      <c r="K298" t="s">
        <v>48</v>
      </c>
      <c r="L298" t="s">
        <v>49</v>
      </c>
      <c r="M298" t="s">
        <v>50</v>
      </c>
      <c r="N298" t="s">
        <v>51</v>
      </c>
      <c r="O298">
        <v>3.45</v>
      </c>
      <c r="P298">
        <v>8.26</v>
      </c>
      <c r="Q298" t="s">
        <v>46</v>
      </c>
      <c r="R298" t="s">
        <v>52</v>
      </c>
      <c r="S298" t="s">
        <v>53</v>
      </c>
      <c r="T298" t="s">
        <v>46</v>
      </c>
      <c r="U298" t="s">
        <v>54</v>
      </c>
      <c r="V298" t="s">
        <v>55</v>
      </c>
      <c r="W298" t="s">
        <v>141</v>
      </c>
      <c r="X298" t="s">
        <v>203</v>
      </c>
      <c r="Y298">
        <v>1.4</v>
      </c>
      <c r="Z298" t="s">
        <v>46</v>
      </c>
      <c r="AA298" t="s">
        <v>58</v>
      </c>
      <c r="AB298" t="s">
        <v>59</v>
      </c>
      <c r="AC298">
        <v>283</v>
      </c>
      <c r="AD298" t="s">
        <v>46</v>
      </c>
      <c r="AE298" t="s">
        <v>60</v>
      </c>
      <c r="AF298" t="s">
        <v>45</v>
      </c>
      <c r="AG298" t="s">
        <v>46</v>
      </c>
      <c r="AH298" t="s">
        <v>61</v>
      </c>
      <c r="AI298" t="s">
        <v>48</v>
      </c>
      <c r="AJ298" t="s">
        <v>62</v>
      </c>
      <c r="AK298" t="s">
        <v>63</v>
      </c>
      <c r="AL298" t="s">
        <v>376</v>
      </c>
      <c r="AM298" t="s">
        <v>46</v>
      </c>
      <c r="AN298" t="s">
        <v>60</v>
      </c>
      <c r="AO298" t="s">
        <v>62</v>
      </c>
      <c r="AP298" t="s">
        <v>617</v>
      </c>
      <c r="AQ298" t="s">
        <v>66</v>
      </c>
      <c r="AR298" t="s">
        <v>67</v>
      </c>
    </row>
    <row r="299" spans="1:44">
      <c r="A299" s="1">
        <v>45427</v>
      </c>
      <c r="B299" s="2">
        <v>0.24709490740740742</v>
      </c>
      <c r="C299" t="s">
        <v>44</v>
      </c>
      <c r="D299" t="s">
        <v>45</v>
      </c>
      <c r="E299">
        <v>0.53100000000000003</v>
      </c>
      <c r="F299" t="s">
        <v>46</v>
      </c>
      <c r="G299" t="s">
        <v>47</v>
      </c>
      <c r="H299" t="s">
        <v>45</v>
      </c>
      <c r="I299">
        <v>0.30959999999999999</v>
      </c>
      <c r="J299" t="s">
        <v>46</v>
      </c>
      <c r="K299" t="s">
        <v>48</v>
      </c>
      <c r="L299" t="s">
        <v>49</v>
      </c>
      <c r="M299" t="s">
        <v>50</v>
      </c>
      <c r="N299" t="s">
        <v>51</v>
      </c>
      <c r="O299">
        <v>3.45</v>
      </c>
      <c r="P299">
        <v>8.26</v>
      </c>
      <c r="Q299" t="s">
        <v>46</v>
      </c>
      <c r="R299" t="s">
        <v>52</v>
      </c>
      <c r="S299" t="s">
        <v>53</v>
      </c>
      <c r="T299" t="s">
        <v>46</v>
      </c>
      <c r="U299" t="s">
        <v>54</v>
      </c>
      <c r="V299" t="s">
        <v>55</v>
      </c>
      <c r="W299" t="s">
        <v>144</v>
      </c>
      <c r="X299" t="s">
        <v>203</v>
      </c>
      <c r="Y299">
        <v>1.4</v>
      </c>
      <c r="Z299" t="s">
        <v>46</v>
      </c>
      <c r="AA299" t="s">
        <v>58</v>
      </c>
      <c r="AB299" t="s">
        <v>59</v>
      </c>
      <c r="AC299">
        <v>283</v>
      </c>
      <c r="AD299" t="s">
        <v>46</v>
      </c>
      <c r="AE299" t="s">
        <v>60</v>
      </c>
      <c r="AF299" t="s">
        <v>45</v>
      </c>
      <c r="AG299" t="s">
        <v>46</v>
      </c>
      <c r="AH299" t="s">
        <v>61</v>
      </c>
      <c r="AI299" t="s">
        <v>48</v>
      </c>
      <c r="AJ299" t="s">
        <v>62</v>
      </c>
      <c r="AK299" t="s">
        <v>63</v>
      </c>
      <c r="AL299" t="s">
        <v>376</v>
      </c>
      <c r="AM299" t="s">
        <v>46</v>
      </c>
      <c r="AN299" t="s">
        <v>60</v>
      </c>
      <c r="AO299" t="s">
        <v>62</v>
      </c>
      <c r="AP299" t="s">
        <v>618</v>
      </c>
      <c r="AQ299" t="s">
        <v>66</v>
      </c>
      <c r="AR299" t="s">
        <v>67</v>
      </c>
    </row>
    <row r="300" spans="1:44">
      <c r="A300" s="1">
        <v>45427</v>
      </c>
      <c r="B300" s="2">
        <v>0.24715277777777778</v>
      </c>
      <c r="C300" t="s">
        <v>44</v>
      </c>
      <c r="D300" t="s">
        <v>45</v>
      </c>
      <c r="E300">
        <v>0.71899999999999997</v>
      </c>
      <c r="F300" t="s">
        <v>46</v>
      </c>
      <c r="G300" t="s">
        <v>47</v>
      </c>
      <c r="H300" t="s">
        <v>45</v>
      </c>
      <c r="I300">
        <v>0.30990000000000001</v>
      </c>
      <c r="J300" t="s">
        <v>46</v>
      </c>
      <c r="K300" t="s">
        <v>48</v>
      </c>
      <c r="L300" t="s">
        <v>49</v>
      </c>
      <c r="M300" t="s">
        <v>50</v>
      </c>
      <c r="N300" t="s">
        <v>51</v>
      </c>
      <c r="O300">
        <v>3.45</v>
      </c>
      <c r="P300">
        <v>8.26</v>
      </c>
      <c r="Q300" t="s">
        <v>46</v>
      </c>
      <c r="R300" t="s">
        <v>52</v>
      </c>
      <c r="S300" t="s">
        <v>53</v>
      </c>
      <c r="T300" t="s">
        <v>46</v>
      </c>
      <c r="U300" t="s">
        <v>54</v>
      </c>
      <c r="V300" t="s">
        <v>55</v>
      </c>
      <c r="W300" t="s">
        <v>193</v>
      </c>
      <c r="X300" t="s">
        <v>132</v>
      </c>
      <c r="Y300">
        <v>1.4</v>
      </c>
      <c r="Z300" t="s">
        <v>46</v>
      </c>
      <c r="AA300" t="s">
        <v>58</v>
      </c>
      <c r="AB300" t="s">
        <v>59</v>
      </c>
      <c r="AC300">
        <v>283</v>
      </c>
      <c r="AD300" t="s">
        <v>46</v>
      </c>
      <c r="AE300" t="s">
        <v>60</v>
      </c>
      <c r="AF300" t="s">
        <v>45</v>
      </c>
      <c r="AG300" t="s">
        <v>46</v>
      </c>
      <c r="AH300" t="s">
        <v>61</v>
      </c>
      <c r="AI300" t="s">
        <v>48</v>
      </c>
      <c r="AJ300" t="s">
        <v>62</v>
      </c>
      <c r="AK300" t="s">
        <v>63</v>
      </c>
      <c r="AL300" t="s">
        <v>376</v>
      </c>
      <c r="AM300" t="s">
        <v>46</v>
      </c>
      <c r="AN300" t="s">
        <v>60</v>
      </c>
      <c r="AO300" t="s">
        <v>62</v>
      </c>
      <c r="AP300" t="s">
        <v>619</v>
      </c>
      <c r="AQ300" t="s">
        <v>66</v>
      </c>
      <c r="AR300" t="s">
        <v>67</v>
      </c>
    </row>
    <row r="301" spans="1:44">
      <c r="A301" s="1">
        <v>45427</v>
      </c>
      <c r="B301" s="2">
        <v>0.24719907407407407</v>
      </c>
      <c r="C301" t="s">
        <v>44</v>
      </c>
      <c r="D301" t="s">
        <v>45</v>
      </c>
      <c r="E301">
        <v>0.48499999999999999</v>
      </c>
      <c r="F301" t="s">
        <v>46</v>
      </c>
      <c r="G301" t="s">
        <v>47</v>
      </c>
      <c r="H301" t="s">
        <v>45</v>
      </c>
      <c r="I301">
        <v>0.31009999999999999</v>
      </c>
      <c r="J301" t="s">
        <v>46</v>
      </c>
      <c r="K301" t="s">
        <v>48</v>
      </c>
      <c r="L301" t="s">
        <v>49</v>
      </c>
      <c r="M301" t="s">
        <v>50</v>
      </c>
      <c r="N301" t="s">
        <v>51</v>
      </c>
      <c r="O301">
        <v>3.45</v>
      </c>
      <c r="P301">
        <v>8.26</v>
      </c>
      <c r="Q301" t="s">
        <v>46</v>
      </c>
      <c r="R301" t="s">
        <v>52</v>
      </c>
      <c r="S301" t="s">
        <v>53</v>
      </c>
      <c r="T301" t="s">
        <v>46</v>
      </c>
      <c r="U301" t="s">
        <v>54</v>
      </c>
      <c r="V301" t="s">
        <v>55</v>
      </c>
      <c r="W301" t="s">
        <v>174</v>
      </c>
      <c r="X301" t="s">
        <v>206</v>
      </c>
      <c r="Y301">
        <v>1.39</v>
      </c>
      <c r="Z301" t="s">
        <v>46</v>
      </c>
      <c r="AA301" t="s">
        <v>58</v>
      </c>
      <c r="AB301" t="s">
        <v>59</v>
      </c>
      <c r="AC301">
        <v>283</v>
      </c>
      <c r="AD301" t="s">
        <v>46</v>
      </c>
      <c r="AE301" t="s">
        <v>60</v>
      </c>
      <c r="AF301" t="s">
        <v>45</v>
      </c>
      <c r="AG301" t="s">
        <v>46</v>
      </c>
      <c r="AH301" t="s">
        <v>61</v>
      </c>
      <c r="AI301" t="s">
        <v>48</v>
      </c>
      <c r="AJ301" t="s">
        <v>62</v>
      </c>
      <c r="AK301" t="s">
        <v>63</v>
      </c>
      <c r="AL301" t="s">
        <v>376</v>
      </c>
      <c r="AM301" t="s">
        <v>46</v>
      </c>
      <c r="AN301" t="s">
        <v>60</v>
      </c>
      <c r="AO301" t="s">
        <v>62</v>
      </c>
      <c r="AP301" t="s">
        <v>620</v>
      </c>
      <c r="AQ301" t="s">
        <v>66</v>
      </c>
      <c r="AR301" t="s">
        <v>67</v>
      </c>
    </row>
    <row r="302" spans="1:44">
      <c r="A302" s="1">
        <v>45427</v>
      </c>
      <c r="B302" s="2">
        <v>0.24724537037037037</v>
      </c>
      <c r="C302" t="s">
        <v>44</v>
      </c>
      <c r="D302" t="s">
        <v>45</v>
      </c>
      <c r="E302">
        <v>0.55900000000000005</v>
      </c>
      <c r="F302" t="s">
        <v>46</v>
      </c>
      <c r="G302" t="s">
        <v>47</v>
      </c>
      <c r="H302" t="s">
        <v>45</v>
      </c>
      <c r="I302">
        <v>0.31019999999999998</v>
      </c>
      <c r="J302" t="s">
        <v>46</v>
      </c>
      <c r="K302" t="s">
        <v>48</v>
      </c>
      <c r="L302" t="s">
        <v>49</v>
      </c>
      <c r="M302" t="s">
        <v>50</v>
      </c>
      <c r="N302" t="s">
        <v>51</v>
      </c>
      <c r="O302">
        <v>3.45</v>
      </c>
      <c r="P302">
        <v>8.26</v>
      </c>
      <c r="Q302" t="s">
        <v>46</v>
      </c>
      <c r="R302" t="s">
        <v>52</v>
      </c>
      <c r="S302" t="s">
        <v>53</v>
      </c>
      <c r="T302" t="s">
        <v>46</v>
      </c>
      <c r="U302" t="s">
        <v>54</v>
      </c>
      <c r="V302" t="s">
        <v>55</v>
      </c>
      <c r="W302" t="s">
        <v>174</v>
      </c>
      <c r="X302" t="s">
        <v>206</v>
      </c>
      <c r="Y302">
        <v>1.39</v>
      </c>
      <c r="Z302" t="s">
        <v>46</v>
      </c>
      <c r="AA302" t="s">
        <v>58</v>
      </c>
      <c r="AB302" t="s">
        <v>59</v>
      </c>
      <c r="AC302">
        <v>283</v>
      </c>
      <c r="AD302" t="s">
        <v>46</v>
      </c>
      <c r="AE302" t="s">
        <v>60</v>
      </c>
      <c r="AF302" t="s">
        <v>45</v>
      </c>
      <c r="AG302" t="s">
        <v>46</v>
      </c>
      <c r="AH302" t="s">
        <v>61</v>
      </c>
      <c r="AI302" t="s">
        <v>48</v>
      </c>
      <c r="AJ302" t="s">
        <v>62</v>
      </c>
      <c r="AK302" t="s">
        <v>63</v>
      </c>
      <c r="AL302" t="s">
        <v>376</v>
      </c>
      <c r="AM302" t="s">
        <v>46</v>
      </c>
      <c r="AN302" t="s">
        <v>60</v>
      </c>
      <c r="AO302" t="s">
        <v>62</v>
      </c>
      <c r="AP302" t="s">
        <v>621</v>
      </c>
      <c r="AQ302" t="s">
        <v>66</v>
      </c>
      <c r="AR302" t="s">
        <v>67</v>
      </c>
    </row>
    <row r="303" spans="1:44">
      <c r="A303" s="1">
        <v>45427</v>
      </c>
      <c r="B303" s="2">
        <v>0.24729166666666666</v>
      </c>
      <c r="C303" t="s">
        <v>44</v>
      </c>
      <c r="D303" t="s">
        <v>45</v>
      </c>
      <c r="E303">
        <v>0.74199999999999999</v>
      </c>
      <c r="F303" t="s">
        <v>46</v>
      </c>
      <c r="G303" t="s">
        <v>47</v>
      </c>
      <c r="H303" t="s">
        <v>45</v>
      </c>
      <c r="I303">
        <v>0.31030000000000002</v>
      </c>
      <c r="J303" t="s">
        <v>46</v>
      </c>
      <c r="K303" t="s">
        <v>48</v>
      </c>
      <c r="L303" t="s">
        <v>49</v>
      </c>
      <c r="M303" t="s">
        <v>50</v>
      </c>
      <c r="N303" t="s">
        <v>51</v>
      </c>
      <c r="O303">
        <v>3.45</v>
      </c>
      <c r="P303">
        <v>8.26</v>
      </c>
      <c r="Q303" t="s">
        <v>46</v>
      </c>
      <c r="R303" t="s">
        <v>52</v>
      </c>
      <c r="S303" t="s">
        <v>53</v>
      </c>
      <c r="T303" t="s">
        <v>46</v>
      </c>
      <c r="U303" t="s">
        <v>54</v>
      </c>
      <c r="V303" t="s">
        <v>55</v>
      </c>
      <c r="W303" t="s">
        <v>179</v>
      </c>
      <c r="X303" t="s">
        <v>56</v>
      </c>
      <c r="Y303">
        <v>1.39</v>
      </c>
      <c r="Z303" t="s">
        <v>46</v>
      </c>
      <c r="AA303" t="s">
        <v>58</v>
      </c>
      <c r="AB303" t="s">
        <v>59</v>
      </c>
      <c r="AC303">
        <v>283</v>
      </c>
      <c r="AD303" t="s">
        <v>46</v>
      </c>
      <c r="AE303" t="s">
        <v>60</v>
      </c>
      <c r="AF303" t="s">
        <v>45</v>
      </c>
      <c r="AG303" t="s">
        <v>46</v>
      </c>
      <c r="AH303" t="s">
        <v>61</v>
      </c>
      <c r="AI303" t="s">
        <v>48</v>
      </c>
      <c r="AJ303" t="s">
        <v>62</v>
      </c>
      <c r="AK303" t="s">
        <v>63</v>
      </c>
      <c r="AL303" t="s">
        <v>376</v>
      </c>
      <c r="AM303" t="s">
        <v>46</v>
      </c>
      <c r="AN303" t="s">
        <v>60</v>
      </c>
      <c r="AO303" t="s">
        <v>62</v>
      </c>
      <c r="AP303" t="s">
        <v>622</v>
      </c>
      <c r="AQ303" t="s">
        <v>66</v>
      </c>
      <c r="AR303" t="s">
        <v>67</v>
      </c>
    </row>
    <row r="304" spans="1:44">
      <c r="A304" s="1">
        <v>45427</v>
      </c>
      <c r="B304" s="2">
        <v>0.24734953703703705</v>
      </c>
      <c r="C304" t="s">
        <v>44</v>
      </c>
      <c r="D304" t="s">
        <v>45</v>
      </c>
      <c r="E304">
        <v>0.55900000000000005</v>
      </c>
      <c r="F304" t="s">
        <v>46</v>
      </c>
      <c r="G304" t="s">
        <v>47</v>
      </c>
      <c r="H304" t="s">
        <v>45</v>
      </c>
      <c r="I304">
        <v>0.31040000000000001</v>
      </c>
      <c r="J304" t="s">
        <v>46</v>
      </c>
      <c r="K304" t="s">
        <v>48</v>
      </c>
      <c r="L304" t="s">
        <v>49</v>
      </c>
      <c r="M304" t="s">
        <v>50</v>
      </c>
      <c r="N304" t="s">
        <v>51</v>
      </c>
      <c r="O304">
        <v>3.45</v>
      </c>
      <c r="P304">
        <v>8.26</v>
      </c>
      <c r="Q304" t="s">
        <v>46</v>
      </c>
      <c r="R304" t="s">
        <v>52</v>
      </c>
      <c r="S304" t="s">
        <v>53</v>
      </c>
      <c r="T304" t="s">
        <v>46</v>
      </c>
      <c r="U304" t="s">
        <v>54</v>
      </c>
      <c r="V304" t="s">
        <v>55</v>
      </c>
      <c r="W304" t="s">
        <v>206</v>
      </c>
      <c r="X304" t="s">
        <v>74</v>
      </c>
      <c r="Y304">
        <v>1.39</v>
      </c>
      <c r="Z304" t="s">
        <v>46</v>
      </c>
      <c r="AA304" t="s">
        <v>58</v>
      </c>
      <c r="AB304" t="s">
        <v>59</v>
      </c>
      <c r="AC304">
        <v>283</v>
      </c>
      <c r="AD304" t="s">
        <v>46</v>
      </c>
      <c r="AE304" t="s">
        <v>60</v>
      </c>
      <c r="AF304" t="s">
        <v>45</v>
      </c>
      <c r="AG304" t="s">
        <v>46</v>
      </c>
      <c r="AH304" t="s">
        <v>61</v>
      </c>
      <c r="AI304" t="s">
        <v>48</v>
      </c>
      <c r="AJ304" t="s">
        <v>62</v>
      </c>
      <c r="AK304" t="s">
        <v>63</v>
      </c>
      <c r="AL304" t="s">
        <v>376</v>
      </c>
      <c r="AM304" t="s">
        <v>46</v>
      </c>
      <c r="AN304" t="s">
        <v>60</v>
      </c>
      <c r="AO304" t="s">
        <v>62</v>
      </c>
      <c r="AP304" t="s">
        <v>623</v>
      </c>
      <c r="AQ304" t="s">
        <v>66</v>
      </c>
      <c r="AR304" t="s">
        <v>67</v>
      </c>
    </row>
    <row r="305" spans="1:44">
      <c r="A305" s="1">
        <v>45427</v>
      </c>
      <c r="B305" s="2">
        <v>0.24739583333333334</v>
      </c>
      <c r="C305" t="s">
        <v>44</v>
      </c>
      <c r="D305" t="s">
        <v>45</v>
      </c>
      <c r="E305">
        <v>0.97</v>
      </c>
      <c r="F305" t="s">
        <v>46</v>
      </c>
      <c r="G305" t="s">
        <v>47</v>
      </c>
      <c r="H305" t="s">
        <v>45</v>
      </c>
      <c r="I305">
        <v>0.31030000000000002</v>
      </c>
      <c r="J305" t="s">
        <v>46</v>
      </c>
      <c r="K305" t="s">
        <v>48</v>
      </c>
      <c r="L305" t="s">
        <v>49</v>
      </c>
      <c r="M305" t="s">
        <v>50</v>
      </c>
      <c r="N305" t="s">
        <v>51</v>
      </c>
      <c r="O305">
        <v>3.45</v>
      </c>
      <c r="P305">
        <v>8.26</v>
      </c>
      <c r="Q305" t="s">
        <v>46</v>
      </c>
      <c r="R305" t="s">
        <v>52</v>
      </c>
      <c r="S305" t="s">
        <v>53</v>
      </c>
      <c r="T305" t="s">
        <v>46</v>
      </c>
      <c r="U305" t="s">
        <v>54</v>
      </c>
      <c r="V305" t="s">
        <v>55</v>
      </c>
      <c r="W305" t="s">
        <v>213</v>
      </c>
      <c r="X305" t="s">
        <v>74</v>
      </c>
      <c r="Y305">
        <v>1.39</v>
      </c>
      <c r="Z305" t="s">
        <v>46</v>
      </c>
      <c r="AA305" t="s">
        <v>58</v>
      </c>
      <c r="AB305" t="s">
        <v>59</v>
      </c>
      <c r="AC305">
        <v>284</v>
      </c>
      <c r="AD305" t="s">
        <v>46</v>
      </c>
      <c r="AE305" t="s">
        <v>60</v>
      </c>
      <c r="AF305" t="s">
        <v>45</v>
      </c>
      <c r="AG305" t="s">
        <v>46</v>
      </c>
      <c r="AH305" t="s">
        <v>61</v>
      </c>
      <c r="AI305" t="s">
        <v>48</v>
      </c>
      <c r="AJ305" t="s">
        <v>62</v>
      </c>
      <c r="AK305" t="s">
        <v>63</v>
      </c>
      <c r="AL305" t="s">
        <v>376</v>
      </c>
      <c r="AM305" t="s">
        <v>46</v>
      </c>
      <c r="AN305" t="s">
        <v>60</v>
      </c>
      <c r="AO305" t="s">
        <v>62</v>
      </c>
      <c r="AP305" t="s">
        <v>624</v>
      </c>
      <c r="AQ305" t="s">
        <v>66</v>
      </c>
      <c r="AR305" t="s">
        <v>67</v>
      </c>
    </row>
    <row r="306" spans="1:44">
      <c r="A306" s="1">
        <v>45427</v>
      </c>
      <c r="B306" s="2">
        <v>0.24744212962962964</v>
      </c>
      <c r="C306" t="s">
        <v>44</v>
      </c>
      <c r="D306" t="s">
        <v>45</v>
      </c>
      <c r="E306">
        <v>0.69699999999999995</v>
      </c>
      <c r="F306" t="s">
        <v>46</v>
      </c>
      <c r="G306" t="s">
        <v>47</v>
      </c>
      <c r="H306" t="s">
        <v>45</v>
      </c>
      <c r="I306">
        <v>0.30990000000000001</v>
      </c>
      <c r="J306" t="s">
        <v>46</v>
      </c>
      <c r="K306" t="s">
        <v>48</v>
      </c>
      <c r="L306" t="s">
        <v>49</v>
      </c>
      <c r="M306" t="s">
        <v>50</v>
      </c>
      <c r="N306" t="s">
        <v>51</v>
      </c>
      <c r="O306">
        <v>3.45</v>
      </c>
      <c r="P306">
        <v>8.26</v>
      </c>
      <c r="Q306" t="s">
        <v>46</v>
      </c>
      <c r="R306" t="s">
        <v>52</v>
      </c>
      <c r="S306" t="s">
        <v>53</v>
      </c>
      <c r="T306" t="s">
        <v>46</v>
      </c>
      <c r="U306" t="s">
        <v>54</v>
      </c>
      <c r="V306" t="s">
        <v>55</v>
      </c>
      <c r="W306" t="s">
        <v>71</v>
      </c>
      <c r="X306" t="s">
        <v>498</v>
      </c>
      <c r="Y306">
        <v>1.38</v>
      </c>
      <c r="Z306" t="s">
        <v>46</v>
      </c>
      <c r="AA306" t="s">
        <v>58</v>
      </c>
      <c r="AB306" t="s">
        <v>59</v>
      </c>
      <c r="AC306">
        <v>283</v>
      </c>
      <c r="AD306" t="s">
        <v>46</v>
      </c>
      <c r="AE306" t="s">
        <v>60</v>
      </c>
      <c r="AF306" t="s">
        <v>45</v>
      </c>
      <c r="AG306" t="s">
        <v>46</v>
      </c>
      <c r="AH306" t="s">
        <v>61</v>
      </c>
      <c r="AI306" t="s">
        <v>48</v>
      </c>
      <c r="AJ306" t="s">
        <v>62</v>
      </c>
      <c r="AK306" t="s">
        <v>63</v>
      </c>
      <c r="AL306" t="s">
        <v>376</v>
      </c>
      <c r="AM306" t="s">
        <v>46</v>
      </c>
      <c r="AN306" t="s">
        <v>60</v>
      </c>
      <c r="AO306" t="s">
        <v>62</v>
      </c>
      <c r="AP306" t="s">
        <v>625</v>
      </c>
      <c r="AQ306" t="s">
        <v>66</v>
      </c>
      <c r="AR306" t="s">
        <v>67</v>
      </c>
    </row>
    <row r="307" spans="1:44">
      <c r="A307" s="1">
        <v>45427</v>
      </c>
      <c r="B307" s="2">
        <v>0.24748842592592593</v>
      </c>
      <c r="C307" t="s">
        <v>44</v>
      </c>
      <c r="D307" t="s">
        <v>45</v>
      </c>
      <c r="E307">
        <v>0.56200000000000006</v>
      </c>
      <c r="F307" t="s">
        <v>46</v>
      </c>
      <c r="G307" t="s">
        <v>47</v>
      </c>
      <c r="H307" t="s">
        <v>45</v>
      </c>
      <c r="I307">
        <v>0.31009999999999999</v>
      </c>
      <c r="J307" t="s">
        <v>46</v>
      </c>
      <c r="K307" t="s">
        <v>48</v>
      </c>
      <c r="L307" t="s">
        <v>49</v>
      </c>
      <c r="M307" t="s">
        <v>50</v>
      </c>
      <c r="N307" t="s">
        <v>51</v>
      </c>
      <c r="O307">
        <v>3.45</v>
      </c>
      <c r="P307">
        <v>8.26</v>
      </c>
      <c r="Q307" t="s">
        <v>46</v>
      </c>
      <c r="R307" t="s">
        <v>52</v>
      </c>
      <c r="S307" t="s">
        <v>53</v>
      </c>
      <c r="T307" t="s">
        <v>46</v>
      </c>
      <c r="U307" t="s">
        <v>54</v>
      </c>
      <c r="V307" t="s">
        <v>55</v>
      </c>
      <c r="W307" t="s">
        <v>340</v>
      </c>
      <c r="X307" t="s">
        <v>213</v>
      </c>
      <c r="Y307">
        <v>1.38</v>
      </c>
      <c r="Z307" t="s">
        <v>46</v>
      </c>
      <c r="AA307" t="s">
        <v>58</v>
      </c>
      <c r="AB307" t="s">
        <v>59</v>
      </c>
      <c r="AC307">
        <v>283</v>
      </c>
      <c r="AD307" t="s">
        <v>46</v>
      </c>
      <c r="AE307" t="s">
        <v>60</v>
      </c>
      <c r="AF307" t="s">
        <v>45</v>
      </c>
      <c r="AG307" t="s">
        <v>46</v>
      </c>
      <c r="AH307" t="s">
        <v>61</v>
      </c>
      <c r="AI307" t="s">
        <v>48</v>
      </c>
      <c r="AJ307" t="s">
        <v>62</v>
      </c>
      <c r="AK307" t="s">
        <v>63</v>
      </c>
      <c r="AL307" t="s">
        <v>376</v>
      </c>
      <c r="AM307" t="s">
        <v>46</v>
      </c>
      <c r="AN307" t="s">
        <v>60</v>
      </c>
      <c r="AO307" t="s">
        <v>62</v>
      </c>
      <c r="AP307" t="s">
        <v>626</v>
      </c>
      <c r="AQ307" t="s">
        <v>66</v>
      </c>
      <c r="AR307" t="s">
        <v>67</v>
      </c>
    </row>
    <row r="308" spans="1:44">
      <c r="A308" s="1">
        <v>45427</v>
      </c>
      <c r="B308" s="2">
        <v>0.24754629629629629</v>
      </c>
      <c r="C308" t="s">
        <v>44</v>
      </c>
      <c r="D308" t="s">
        <v>45</v>
      </c>
      <c r="E308">
        <v>0.57099999999999995</v>
      </c>
      <c r="F308" t="s">
        <v>46</v>
      </c>
      <c r="G308" t="s">
        <v>47</v>
      </c>
      <c r="H308" t="s">
        <v>45</v>
      </c>
      <c r="I308">
        <v>0.3105</v>
      </c>
      <c r="J308" t="s">
        <v>46</v>
      </c>
      <c r="K308" t="s">
        <v>48</v>
      </c>
      <c r="L308" t="s">
        <v>49</v>
      </c>
      <c r="M308" t="s">
        <v>50</v>
      </c>
      <c r="N308" t="s">
        <v>51</v>
      </c>
      <c r="O308">
        <v>3.45</v>
      </c>
      <c r="P308">
        <v>8.26</v>
      </c>
      <c r="Q308" t="s">
        <v>46</v>
      </c>
      <c r="R308" t="s">
        <v>52</v>
      </c>
      <c r="S308" t="s">
        <v>53</v>
      </c>
      <c r="T308" t="s">
        <v>46</v>
      </c>
      <c r="U308" t="s">
        <v>54</v>
      </c>
      <c r="V308" t="s">
        <v>55</v>
      </c>
      <c r="W308" t="s">
        <v>627</v>
      </c>
      <c r="X308" t="s">
        <v>203</v>
      </c>
      <c r="Y308">
        <v>1.4</v>
      </c>
      <c r="Z308" t="s">
        <v>46</v>
      </c>
      <c r="AA308" t="s">
        <v>58</v>
      </c>
      <c r="AB308" t="s">
        <v>59</v>
      </c>
      <c r="AC308">
        <v>283</v>
      </c>
      <c r="AD308" t="s">
        <v>46</v>
      </c>
      <c r="AE308" t="s">
        <v>60</v>
      </c>
      <c r="AF308" t="s">
        <v>45</v>
      </c>
      <c r="AG308" t="s">
        <v>46</v>
      </c>
      <c r="AH308" t="s">
        <v>61</v>
      </c>
      <c r="AI308" t="s">
        <v>48</v>
      </c>
      <c r="AJ308" t="s">
        <v>62</v>
      </c>
      <c r="AK308" t="s">
        <v>63</v>
      </c>
      <c r="AL308" t="s">
        <v>376</v>
      </c>
      <c r="AM308" t="s">
        <v>46</v>
      </c>
      <c r="AN308" t="s">
        <v>60</v>
      </c>
      <c r="AO308" t="s">
        <v>62</v>
      </c>
      <c r="AP308" t="s">
        <v>628</v>
      </c>
      <c r="AQ308" t="s">
        <v>66</v>
      </c>
      <c r="AR308" t="s">
        <v>67</v>
      </c>
    </row>
    <row r="309" spans="1:44">
      <c r="A309" s="1">
        <v>45427</v>
      </c>
      <c r="B309" s="2">
        <v>0.24759259259259259</v>
      </c>
      <c r="C309" t="s">
        <v>44</v>
      </c>
      <c r="D309" t="s">
        <v>45</v>
      </c>
      <c r="E309">
        <v>0.63600000000000001</v>
      </c>
      <c r="F309" t="s">
        <v>46</v>
      </c>
      <c r="G309" t="s">
        <v>47</v>
      </c>
      <c r="H309" t="s">
        <v>45</v>
      </c>
      <c r="I309">
        <v>0.31019999999999998</v>
      </c>
      <c r="J309" t="s">
        <v>46</v>
      </c>
      <c r="K309" t="s">
        <v>48</v>
      </c>
      <c r="L309" t="s">
        <v>49</v>
      </c>
      <c r="M309" t="s">
        <v>50</v>
      </c>
      <c r="N309" t="s">
        <v>51</v>
      </c>
      <c r="O309">
        <v>3.45</v>
      </c>
      <c r="P309">
        <v>8.26</v>
      </c>
      <c r="Q309" t="s">
        <v>46</v>
      </c>
      <c r="R309" t="s">
        <v>52</v>
      </c>
      <c r="S309" t="s">
        <v>53</v>
      </c>
      <c r="T309" t="s">
        <v>46</v>
      </c>
      <c r="U309" t="s">
        <v>54</v>
      </c>
      <c r="V309" t="s">
        <v>55</v>
      </c>
      <c r="W309" t="s">
        <v>627</v>
      </c>
      <c r="X309" t="s">
        <v>203</v>
      </c>
      <c r="Y309">
        <v>1.4</v>
      </c>
      <c r="Z309" t="s">
        <v>46</v>
      </c>
      <c r="AA309" t="s">
        <v>58</v>
      </c>
      <c r="AB309" t="s">
        <v>59</v>
      </c>
      <c r="AC309">
        <v>283</v>
      </c>
      <c r="AD309" t="s">
        <v>46</v>
      </c>
      <c r="AE309" t="s">
        <v>60</v>
      </c>
      <c r="AF309" t="s">
        <v>45</v>
      </c>
      <c r="AG309" t="s">
        <v>46</v>
      </c>
      <c r="AH309" t="s">
        <v>61</v>
      </c>
      <c r="AI309" t="s">
        <v>48</v>
      </c>
      <c r="AJ309" t="s">
        <v>62</v>
      </c>
      <c r="AK309" t="s">
        <v>63</v>
      </c>
      <c r="AL309" t="s">
        <v>376</v>
      </c>
      <c r="AM309" t="s">
        <v>46</v>
      </c>
      <c r="AN309" t="s">
        <v>60</v>
      </c>
      <c r="AO309" t="s">
        <v>62</v>
      </c>
      <c r="AP309" t="s">
        <v>629</v>
      </c>
      <c r="AQ309" t="s">
        <v>66</v>
      </c>
      <c r="AR309" t="s">
        <v>67</v>
      </c>
    </row>
    <row r="310" spans="1:44">
      <c r="A310" s="1">
        <v>45427</v>
      </c>
      <c r="B310" s="2">
        <v>0.24763888888888888</v>
      </c>
      <c r="C310" t="s">
        <v>44</v>
      </c>
      <c r="D310" t="s">
        <v>45</v>
      </c>
      <c r="E310">
        <v>1</v>
      </c>
      <c r="F310" t="s">
        <v>46</v>
      </c>
      <c r="G310" t="s">
        <v>47</v>
      </c>
      <c r="H310" t="s">
        <v>45</v>
      </c>
      <c r="I310">
        <v>0.31019999999999998</v>
      </c>
      <c r="J310" t="s">
        <v>46</v>
      </c>
      <c r="K310" t="s">
        <v>48</v>
      </c>
      <c r="L310" t="s">
        <v>49</v>
      </c>
      <c r="M310" t="s">
        <v>50</v>
      </c>
      <c r="N310" t="s">
        <v>51</v>
      </c>
      <c r="O310">
        <v>3.45</v>
      </c>
      <c r="P310">
        <v>8.26</v>
      </c>
      <c r="Q310" t="s">
        <v>46</v>
      </c>
      <c r="R310" t="s">
        <v>52</v>
      </c>
      <c r="S310" t="s">
        <v>53</v>
      </c>
      <c r="T310" t="s">
        <v>46</v>
      </c>
      <c r="U310" t="s">
        <v>54</v>
      </c>
      <c r="V310" t="s">
        <v>55</v>
      </c>
      <c r="W310" t="s">
        <v>189</v>
      </c>
      <c r="X310" t="s">
        <v>132</v>
      </c>
      <c r="Y310">
        <v>1.4</v>
      </c>
      <c r="Z310" t="s">
        <v>46</v>
      </c>
      <c r="AA310" t="s">
        <v>58</v>
      </c>
      <c r="AB310" t="s">
        <v>59</v>
      </c>
      <c r="AC310">
        <v>284</v>
      </c>
      <c r="AD310" t="s">
        <v>46</v>
      </c>
      <c r="AE310" t="s">
        <v>60</v>
      </c>
      <c r="AF310" t="s">
        <v>45</v>
      </c>
      <c r="AG310" t="s">
        <v>46</v>
      </c>
      <c r="AH310" t="s">
        <v>61</v>
      </c>
      <c r="AI310" t="s">
        <v>48</v>
      </c>
      <c r="AJ310" t="s">
        <v>62</v>
      </c>
      <c r="AK310" t="s">
        <v>63</v>
      </c>
      <c r="AL310" t="s">
        <v>376</v>
      </c>
      <c r="AM310" t="s">
        <v>46</v>
      </c>
      <c r="AN310" t="s">
        <v>60</v>
      </c>
      <c r="AO310" t="s">
        <v>62</v>
      </c>
      <c r="AP310" t="s">
        <v>630</v>
      </c>
      <c r="AQ310" t="s">
        <v>66</v>
      </c>
      <c r="AR310" t="s">
        <v>67</v>
      </c>
    </row>
    <row r="311" spans="1:44">
      <c r="A311" s="1">
        <v>45427</v>
      </c>
      <c r="B311" s="2">
        <v>0.24768518518518517</v>
      </c>
      <c r="C311" t="s">
        <v>44</v>
      </c>
      <c r="D311" t="s">
        <v>45</v>
      </c>
      <c r="E311">
        <v>0.54500000000000004</v>
      </c>
      <c r="F311" t="s">
        <v>46</v>
      </c>
      <c r="G311" t="s">
        <v>47</v>
      </c>
      <c r="H311" t="s">
        <v>45</v>
      </c>
      <c r="I311">
        <v>0.31030000000000002</v>
      </c>
      <c r="J311" t="s">
        <v>46</v>
      </c>
      <c r="K311" t="s">
        <v>48</v>
      </c>
      <c r="L311" t="s">
        <v>49</v>
      </c>
      <c r="M311" t="s">
        <v>50</v>
      </c>
      <c r="N311" t="s">
        <v>51</v>
      </c>
      <c r="O311">
        <v>3.45</v>
      </c>
      <c r="P311">
        <v>8.26</v>
      </c>
      <c r="Q311" t="s">
        <v>46</v>
      </c>
      <c r="R311" t="s">
        <v>52</v>
      </c>
      <c r="S311" t="s">
        <v>53</v>
      </c>
      <c r="T311" t="s">
        <v>46</v>
      </c>
      <c r="U311" t="s">
        <v>54</v>
      </c>
      <c r="V311" t="s">
        <v>55</v>
      </c>
      <c r="W311" t="s">
        <v>174</v>
      </c>
      <c r="X311" t="s">
        <v>206</v>
      </c>
      <c r="Y311">
        <v>1.4</v>
      </c>
      <c r="Z311" t="s">
        <v>46</v>
      </c>
      <c r="AA311" t="s">
        <v>58</v>
      </c>
      <c r="AB311" t="s">
        <v>59</v>
      </c>
      <c r="AC311">
        <v>283</v>
      </c>
      <c r="AD311" t="s">
        <v>46</v>
      </c>
      <c r="AE311" t="s">
        <v>60</v>
      </c>
      <c r="AF311" t="s">
        <v>45</v>
      </c>
      <c r="AG311" t="s">
        <v>46</v>
      </c>
      <c r="AH311" t="s">
        <v>61</v>
      </c>
      <c r="AI311" t="s">
        <v>48</v>
      </c>
      <c r="AJ311" t="s">
        <v>62</v>
      </c>
      <c r="AK311" t="s">
        <v>63</v>
      </c>
      <c r="AL311" t="s">
        <v>376</v>
      </c>
      <c r="AM311" t="s">
        <v>46</v>
      </c>
      <c r="AN311" t="s">
        <v>60</v>
      </c>
      <c r="AO311" t="s">
        <v>62</v>
      </c>
      <c r="AP311" t="s">
        <v>631</v>
      </c>
      <c r="AQ311" t="s">
        <v>66</v>
      </c>
      <c r="AR311" t="s">
        <v>67</v>
      </c>
    </row>
    <row r="312" spans="1:44">
      <c r="A312" s="1">
        <v>45427</v>
      </c>
      <c r="B312" s="2">
        <v>0.24774305555555556</v>
      </c>
      <c r="C312" t="s">
        <v>44</v>
      </c>
      <c r="D312" t="s">
        <v>45</v>
      </c>
      <c r="E312">
        <v>0.63600000000000001</v>
      </c>
      <c r="F312" t="s">
        <v>46</v>
      </c>
      <c r="G312" t="s">
        <v>47</v>
      </c>
      <c r="H312" t="s">
        <v>45</v>
      </c>
      <c r="I312">
        <v>0.31040000000000001</v>
      </c>
      <c r="J312" t="s">
        <v>46</v>
      </c>
      <c r="K312" t="s">
        <v>48</v>
      </c>
      <c r="L312" t="s">
        <v>49</v>
      </c>
      <c r="M312" t="s">
        <v>50</v>
      </c>
      <c r="N312" t="s">
        <v>51</v>
      </c>
      <c r="O312">
        <v>3.45</v>
      </c>
      <c r="P312">
        <v>8.26</v>
      </c>
      <c r="Q312" t="s">
        <v>46</v>
      </c>
      <c r="R312" t="s">
        <v>52</v>
      </c>
      <c r="S312" t="s">
        <v>53</v>
      </c>
      <c r="T312" t="s">
        <v>46</v>
      </c>
      <c r="U312" t="s">
        <v>54</v>
      </c>
      <c r="V312" t="s">
        <v>55</v>
      </c>
      <c r="W312" t="s">
        <v>146</v>
      </c>
      <c r="X312" t="s">
        <v>206</v>
      </c>
      <c r="Y312">
        <v>1.39</v>
      </c>
      <c r="Z312" t="s">
        <v>46</v>
      </c>
      <c r="AA312" t="s">
        <v>58</v>
      </c>
      <c r="AB312" t="s">
        <v>59</v>
      </c>
      <c r="AC312">
        <v>283</v>
      </c>
      <c r="AD312" t="s">
        <v>46</v>
      </c>
      <c r="AE312" t="s">
        <v>60</v>
      </c>
      <c r="AF312" t="s">
        <v>45</v>
      </c>
      <c r="AG312" t="s">
        <v>46</v>
      </c>
      <c r="AH312" t="s">
        <v>61</v>
      </c>
      <c r="AI312" t="s">
        <v>48</v>
      </c>
      <c r="AJ312" t="s">
        <v>62</v>
      </c>
      <c r="AK312" t="s">
        <v>63</v>
      </c>
      <c r="AL312" t="s">
        <v>376</v>
      </c>
      <c r="AM312" t="s">
        <v>46</v>
      </c>
      <c r="AN312" t="s">
        <v>60</v>
      </c>
      <c r="AO312" t="s">
        <v>62</v>
      </c>
      <c r="AP312" t="s">
        <v>632</v>
      </c>
      <c r="AQ312" t="s">
        <v>66</v>
      </c>
      <c r="AR312" t="s">
        <v>67</v>
      </c>
    </row>
    <row r="313" spans="1:44">
      <c r="A313" s="1">
        <v>45427</v>
      </c>
      <c r="B313" s="2">
        <v>0.24778935185185186</v>
      </c>
      <c r="C313" t="s">
        <v>44</v>
      </c>
      <c r="D313" t="s">
        <v>45</v>
      </c>
      <c r="E313">
        <v>0.53100000000000003</v>
      </c>
      <c r="F313" t="s">
        <v>46</v>
      </c>
      <c r="G313" t="s">
        <v>47</v>
      </c>
      <c r="H313" t="s">
        <v>45</v>
      </c>
      <c r="I313">
        <v>0.31040000000000001</v>
      </c>
      <c r="J313" t="s">
        <v>46</v>
      </c>
      <c r="K313" t="s">
        <v>48</v>
      </c>
      <c r="L313" t="s">
        <v>49</v>
      </c>
      <c r="M313" t="s">
        <v>50</v>
      </c>
      <c r="N313" t="s">
        <v>51</v>
      </c>
      <c r="O313">
        <v>3.45</v>
      </c>
      <c r="P313">
        <v>8.26</v>
      </c>
      <c r="Q313" t="s">
        <v>46</v>
      </c>
      <c r="R313" t="s">
        <v>52</v>
      </c>
      <c r="S313" t="s">
        <v>53</v>
      </c>
      <c r="T313" t="s">
        <v>46</v>
      </c>
      <c r="U313" t="s">
        <v>54</v>
      </c>
      <c r="V313" t="s">
        <v>55</v>
      </c>
      <c r="W313" t="s">
        <v>206</v>
      </c>
      <c r="X313" t="s">
        <v>56</v>
      </c>
      <c r="Y313">
        <v>1.39</v>
      </c>
      <c r="Z313" t="s">
        <v>46</v>
      </c>
      <c r="AA313" t="s">
        <v>58</v>
      </c>
      <c r="AB313" t="s">
        <v>59</v>
      </c>
      <c r="AC313">
        <v>283</v>
      </c>
      <c r="AD313" t="s">
        <v>46</v>
      </c>
      <c r="AE313" t="s">
        <v>60</v>
      </c>
      <c r="AF313" t="s">
        <v>45</v>
      </c>
      <c r="AG313" t="s">
        <v>46</v>
      </c>
      <c r="AH313" t="s">
        <v>61</v>
      </c>
      <c r="AI313" t="s">
        <v>48</v>
      </c>
      <c r="AJ313" t="s">
        <v>62</v>
      </c>
      <c r="AK313" t="s">
        <v>63</v>
      </c>
      <c r="AL313" t="s">
        <v>376</v>
      </c>
      <c r="AM313" t="s">
        <v>46</v>
      </c>
      <c r="AN313" t="s">
        <v>60</v>
      </c>
      <c r="AO313" t="s">
        <v>62</v>
      </c>
      <c r="AP313" t="s">
        <v>633</v>
      </c>
      <c r="AQ313" t="s">
        <v>66</v>
      </c>
      <c r="AR313" t="s">
        <v>67</v>
      </c>
    </row>
    <row r="314" spans="1:44">
      <c r="A314" s="1">
        <v>45427</v>
      </c>
      <c r="B314" s="2">
        <v>0.24783564814814815</v>
      </c>
      <c r="C314" t="s">
        <v>44</v>
      </c>
      <c r="D314" t="s">
        <v>45</v>
      </c>
      <c r="E314">
        <v>0.5</v>
      </c>
      <c r="F314" t="s">
        <v>46</v>
      </c>
      <c r="G314" t="s">
        <v>47</v>
      </c>
      <c r="H314" t="s">
        <v>45</v>
      </c>
      <c r="I314">
        <v>0.31040000000000001</v>
      </c>
      <c r="J314" t="s">
        <v>46</v>
      </c>
      <c r="K314" t="s">
        <v>48</v>
      </c>
      <c r="L314" t="s">
        <v>49</v>
      </c>
      <c r="M314" t="s">
        <v>50</v>
      </c>
      <c r="N314" t="s">
        <v>51</v>
      </c>
      <c r="O314">
        <v>3.45</v>
      </c>
      <c r="P314">
        <v>8.26</v>
      </c>
      <c r="Q314" t="s">
        <v>46</v>
      </c>
      <c r="R314" t="s">
        <v>52</v>
      </c>
      <c r="S314" t="s">
        <v>53</v>
      </c>
      <c r="T314" t="s">
        <v>46</v>
      </c>
      <c r="U314" t="s">
        <v>54</v>
      </c>
      <c r="V314" t="s">
        <v>55</v>
      </c>
      <c r="W314" t="s">
        <v>498</v>
      </c>
      <c r="X314" t="s">
        <v>74</v>
      </c>
      <c r="Y314">
        <v>1.39</v>
      </c>
      <c r="Z314" t="s">
        <v>46</v>
      </c>
      <c r="AA314" t="s">
        <v>58</v>
      </c>
      <c r="AB314" t="s">
        <v>59</v>
      </c>
      <c r="AC314">
        <v>283</v>
      </c>
      <c r="AD314" t="s">
        <v>46</v>
      </c>
      <c r="AE314" t="s">
        <v>60</v>
      </c>
      <c r="AF314" t="s">
        <v>45</v>
      </c>
      <c r="AG314" t="s">
        <v>46</v>
      </c>
      <c r="AH314" t="s">
        <v>61</v>
      </c>
      <c r="AI314" t="s">
        <v>48</v>
      </c>
      <c r="AJ314" t="s">
        <v>62</v>
      </c>
      <c r="AK314" t="s">
        <v>63</v>
      </c>
      <c r="AL314" t="s">
        <v>376</v>
      </c>
      <c r="AM314" t="s">
        <v>46</v>
      </c>
      <c r="AN314" t="s">
        <v>60</v>
      </c>
      <c r="AO314" t="s">
        <v>62</v>
      </c>
      <c r="AP314" t="s">
        <v>634</v>
      </c>
      <c r="AQ314" t="s">
        <v>66</v>
      </c>
      <c r="AR314" t="s">
        <v>67</v>
      </c>
    </row>
    <row r="315" spans="1:44">
      <c r="A315" s="1">
        <v>45427</v>
      </c>
      <c r="B315" s="2">
        <v>0.24788194444444445</v>
      </c>
      <c r="C315" t="s">
        <v>44</v>
      </c>
      <c r="D315" t="s">
        <v>45</v>
      </c>
      <c r="E315">
        <v>0.73</v>
      </c>
      <c r="F315" t="s">
        <v>46</v>
      </c>
      <c r="G315" t="s">
        <v>47</v>
      </c>
      <c r="H315" t="s">
        <v>45</v>
      </c>
      <c r="I315">
        <v>0.31059999999999999</v>
      </c>
      <c r="J315" t="s">
        <v>46</v>
      </c>
      <c r="K315" t="s">
        <v>48</v>
      </c>
      <c r="L315" t="s">
        <v>49</v>
      </c>
      <c r="M315" t="s">
        <v>50</v>
      </c>
      <c r="N315" t="s">
        <v>51</v>
      </c>
      <c r="O315">
        <v>3.45</v>
      </c>
      <c r="P315">
        <v>8.26</v>
      </c>
      <c r="Q315" t="s">
        <v>46</v>
      </c>
      <c r="R315" t="s">
        <v>52</v>
      </c>
      <c r="S315" t="s">
        <v>53</v>
      </c>
      <c r="T315" t="s">
        <v>46</v>
      </c>
      <c r="U315" t="s">
        <v>54</v>
      </c>
      <c r="V315" t="s">
        <v>55</v>
      </c>
      <c r="W315" t="s">
        <v>498</v>
      </c>
      <c r="X315" t="s">
        <v>74</v>
      </c>
      <c r="Y315">
        <v>1.39</v>
      </c>
      <c r="Z315" t="s">
        <v>46</v>
      </c>
      <c r="AA315" t="s">
        <v>58</v>
      </c>
      <c r="AB315" t="s">
        <v>59</v>
      </c>
      <c r="AC315">
        <v>283</v>
      </c>
      <c r="AD315" t="s">
        <v>46</v>
      </c>
      <c r="AE315" t="s">
        <v>60</v>
      </c>
      <c r="AF315" t="s">
        <v>45</v>
      </c>
      <c r="AG315" t="s">
        <v>46</v>
      </c>
      <c r="AH315" t="s">
        <v>61</v>
      </c>
      <c r="AI315" t="s">
        <v>48</v>
      </c>
      <c r="AJ315" t="s">
        <v>62</v>
      </c>
      <c r="AK315" t="s">
        <v>63</v>
      </c>
      <c r="AL315" t="s">
        <v>376</v>
      </c>
      <c r="AM315" t="s">
        <v>46</v>
      </c>
      <c r="AN315" t="s">
        <v>60</v>
      </c>
      <c r="AO315" t="s">
        <v>62</v>
      </c>
      <c r="AP315" t="s">
        <v>635</v>
      </c>
      <c r="AQ315" t="s">
        <v>66</v>
      </c>
      <c r="AR315" t="s">
        <v>67</v>
      </c>
    </row>
    <row r="316" spans="1:44">
      <c r="A316" s="1">
        <v>45427</v>
      </c>
      <c r="B316" s="2">
        <v>0.24793981481481481</v>
      </c>
      <c r="C316" t="s">
        <v>44</v>
      </c>
      <c r="D316" t="s">
        <v>45</v>
      </c>
      <c r="E316">
        <v>0.56200000000000006</v>
      </c>
      <c r="F316" t="s">
        <v>46</v>
      </c>
      <c r="G316" t="s">
        <v>47</v>
      </c>
      <c r="H316" t="s">
        <v>45</v>
      </c>
      <c r="I316">
        <v>0.31059999999999999</v>
      </c>
      <c r="J316" t="s">
        <v>46</v>
      </c>
      <c r="K316" t="s">
        <v>48</v>
      </c>
      <c r="L316" t="s">
        <v>49</v>
      </c>
      <c r="M316" t="s">
        <v>50</v>
      </c>
      <c r="N316" t="s">
        <v>51</v>
      </c>
      <c r="O316">
        <v>3.45</v>
      </c>
      <c r="P316">
        <v>8.26</v>
      </c>
      <c r="Q316" t="s">
        <v>46</v>
      </c>
      <c r="R316" t="s">
        <v>52</v>
      </c>
      <c r="S316" t="s">
        <v>53</v>
      </c>
      <c r="T316" t="s">
        <v>46</v>
      </c>
      <c r="U316" t="s">
        <v>54</v>
      </c>
      <c r="V316" t="s">
        <v>55</v>
      </c>
      <c r="W316" t="s">
        <v>132</v>
      </c>
      <c r="X316" t="s">
        <v>56</v>
      </c>
      <c r="Y316">
        <v>1.39</v>
      </c>
      <c r="Z316" t="s">
        <v>46</v>
      </c>
      <c r="AA316" t="s">
        <v>58</v>
      </c>
      <c r="AB316" t="s">
        <v>59</v>
      </c>
      <c r="AC316">
        <v>283</v>
      </c>
      <c r="AD316" t="s">
        <v>46</v>
      </c>
      <c r="AE316" t="s">
        <v>60</v>
      </c>
      <c r="AF316" t="s">
        <v>45</v>
      </c>
      <c r="AG316" t="s">
        <v>46</v>
      </c>
      <c r="AH316" t="s">
        <v>61</v>
      </c>
      <c r="AI316" t="s">
        <v>48</v>
      </c>
      <c r="AJ316" t="s">
        <v>62</v>
      </c>
      <c r="AK316" t="s">
        <v>63</v>
      </c>
      <c r="AL316" t="s">
        <v>376</v>
      </c>
      <c r="AM316" t="s">
        <v>46</v>
      </c>
      <c r="AN316" t="s">
        <v>60</v>
      </c>
      <c r="AO316" t="s">
        <v>62</v>
      </c>
      <c r="AP316" t="s">
        <v>636</v>
      </c>
      <c r="AQ316" t="s">
        <v>66</v>
      </c>
      <c r="AR316" t="s">
        <v>67</v>
      </c>
    </row>
    <row r="317" spans="1:44">
      <c r="A317" s="1">
        <v>45427</v>
      </c>
      <c r="B317" s="2">
        <v>0.2479861111111111</v>
      </c>
      <c r="C317" t="s">
        <v>44</v>
      </c>
      <c r="D317" t="s">
        <v>45</v>
      </c>
      <c r="E317">
        <v>0.56200000000000006</v>
      </c>
      <c r="F317" t="s">
        <v>46</v>
      </c>
      <c r="G317" t="s">
        <v>47</v>
      </c>
      <c r="H317" t="s">
        <v>45</v>
      </c>
      <c r="I317">
        <v>0.31030000000000002</v>
      </c>
      <c r="J317" t="s">
        <v>46</v>
      </c>
      <c r="K317" t="s">
        <v>48</v>
      </c>
      <c r="L317" t="s">
        <v>49</v>
      </c>
      <c r="M317" t="s">
        <v>50</v>
      </c>
      <c r="N317" t="s">
        <v>51</v>
      </c>
      <c r="O317">
        <v>3.45</v>
      </c>
      <c r="P317">
        <v>8.26</v>
      </c>
      <c r="Q317" t="s">
        <v>46</v>
      </c>
      <c r="R317" t="s">
        <v>52</v>
      </c>
      <c r="S317" t="s">
        <v>53</v>
      </c>
      <c r="T317" t="s">
        <v>46</v>
      </c>
      <c r="U317" t="s">
        <v>54</v>
      </c>
      <c r="V317" t="s">
        <v>55</v>
      </c>
      <c r="W317" t="s">
        <v>498</v>
      </c>
      <c r="X317" t="s">
        <v>74</v>
      </c>
      <c r="Y317">
        <v>1.39</v>
      </c>
      <c r="Z317" t="s">
        <v>46</v>
      </c>
      <c r="AA317" t="s">
        <v>58</v>
      </c>
      <c r="AB317" t="s">
        <v>59</v>
      </c>
      <c r="AC317">
        <v>283</v>
      </c>
      <c r="AD317" t="s">
        <v>46</v>
      </c>
      <c r="AE317" t="s">
        <v>60</v>
      </c>
      <c r="AF317" t="s">
        <v>45</v>
      </c>
      <c r="AG317" t="s">
        <v>46</v>
      </c>
      <c r="AH317" t="s">
        <v>61</v>
      </c>
      <c r="AI317" t="s">
        <v>48</v>
      </c>
      <c r="AJ317" t="s">
        <v>62</v>
      </c>
      <c r="AK317" t="s">
        <v>63</v>
      </c>
      <c r="AL317" t="s">
        <v>376</v>
      </c>
      <c r="AM317" t="s">
        <v>46</v>
      </c>
      <c r="AN317" t="s">
        <v>60</v>
      </c>
      <c r="AO317" t="s">
        <v>62</v>
      </c>
      <c r="AP317" t="s">
        <v>637</v>
      </c>
      <c r="AQ317" t="s">
        <v>66</v>
      </c>
      <c r="AR317" t="s">
        <v>67</v>
      </c>
    </row>
    <row r="318" spans="1:44">
      <c r="A318" s="1">
        <v>45427</v>
      </c>
      <c r="B318" s="2">
        <v>0.2480324074074074</v>
      </c>
      <c r="C318" t="s">
        <v>44</v>
      </c>
      <c r="D318" t="s">
        <v>45</v>
      </c>
      <c r="E318">
        <v>0.71</v>
      </c>
      <c r="F318" t="s">
        <v>46</v>
      </c>
      <c r="G318" t="s">
        <v>47</v>
      </c>
      <c r="H318" t="s">
        <v>45</v>
      </c>
      <c r="I318">
        <v>0.31</v>
      </c>
      <c r="J318" t="s">
        <v>46</v>
      </c>
      <c r="K318" t="s">
        <v>48</v>
      </c>
      <c r="L318" t="s">
        <v>49</v>
      </c>
      <c r="M318" t="s">
        <v>50</v>
      </c>
      <c r="N318" t="s">
        <v>51</v>
      </c>
      <c r="O318">
        <v>3.45</v>
      </c>
      <c r="P318">
        <v>8.26</v>
      </c>
      <c r="Q318" t="s">
        <v>46</v>
      </c>
      <c r="R318" t="s">
        <v>52</v>
      </c>
      <c r="S318" t="s">
        <v>53</v>
      </c>
      <c r="T318" t="s">
        <v>46</v>
      </c>
      <c r="U318" t="s">
        <v>54</v>
      </c>
      <c r="V318" t="s">
        <v>55</v>
      </c>
      <c r="W318" t="s">
        <v>460</v>
      </c>
      <c r="X318" t="s">
        <v>498</v>
      </c>
      <c r="Y318">
        <v>1.39</v>
      </c>
      <c r="Z318" t="s">
        <v>46</v>
      </c>
      <c r="AA318" t="s">
        <v>58</v>
      </c>
      <c r="AB318" t="s">
        <v>59</v>
      </c>
      <c r="AC318">
        <v>283</v>
      </c>
      <c r="AD318" t="s">
        <v>46</v>
      </c>
      <c r="AE318" t="s">
        <v>60</v>
      </c>
      <c r="AF318" t="s">
        <v>45</v>
      </c>
      <c r="AG318" t="s">
        <v>46</v>
      </c>
      <c r="AH318" t="s">
        <v>61</v>
      </c>
      <c r="AI318" t="s">
        <v>48</v>
      </c>
      <c r="AJ318" t="s">
        <v>62</v>
      </c>
      <c r="AK318" t="s">
        <v>63</v>
      </c>
      <c r="AL318" t="s">
        <v>376</v>
      </c>
      <c r="AM318" t="s">
        <v>46</v>
      </c>
      <c r="AN318" t="s">
        <v>60</v>
      </c>
      <c r="AO318" t="s">
        <v>62</v>
      </c>
      <c r="AP318" t="s">
        <v>638</v>
      </c>
      <c r="AQ318" t="s">
        <v>66</v>
      </c>
      <c r="AR318" t="s">
        <v>67</v>
      </c>
    </row>
    <row r="319" spans="1:44">
      <c r="A319" s="1">
        <v>45427</v>
      </c>
      <c r="B319" s="2">
        <v>0.24807870370370369</v>
      </c>
      <c r="C319" t="s">
        <v>44</v>
      </c>
      <c r="D319" t="s">
        <v>45</v>
      </c>
      <c r="E319">
        <v>0.55900000000000005</v>
      </c>
      <c r="F319" t="s">
        <v>46</v>
      </c>
      <c r="G319" t="s">
        <v>47</v>
      </c>
      <c r="H319" t="s">
        <v>45</v>
      </c>
      <c r="I319">
        <v>0.31</v>
      </c>
      <c r="J319" t="s">
        <v>46</v>
      </c>
      <c r="K319" t="s">
        <v>48</v>
      </c>
      <c r="L319" t="s">
        <v>49</v>
      </c>
      <c r="M319" t="s">
        <v>50</v>
      </c>
      <c r="N319" t="s">
        <v>51</v>
      </c>
      <c r="O319">
        <v>3.45</v>
      </c>
      <c r="P319">
        <v>8.26</v>
      </c>
      <c r="Q319" t="s">
        <v>46</v>
      </c>
      <c r="R319" t="s">
        <v>52</v>
      </c>
      <c r="S319" t="s">
        <v>53</v>
      </c>
      <c r="T319" t="s">
        <v>46</v>
      </c>
      <c r="U319" t="s">
        <v>54</v>
      </c>
      <c r="V319" t="s">
        <v>55</v>
      </c>
      <c r="W319" t="s">
        <v>333</v>
      </c>
      <c r="X319" t="s">
        <v>498</v>
      </c>
      <c r="Y319">
        <v>1.39</v>
      </c>
      <c r="Z319" t="s">
        <v>46</v>
      </c>
      <c r="AA319" t="s">
        <v>58</v>
      </c>
      <c r="AB319" t="s">
        <v>59</v>
      </c>
      <c r="AC319">
        <v>283</v>
      </c>
      <c r="AD319" t="s">
        <v>46</v>
      </c>
      <c r="AE319" t="s">
        <v>60</v>
      </c>
      <c r="AF319" t="s">
        <v>45</v>
      </c>
      <c r="AG319" t="s">
        <v>46</v>
      </c>
      <c r="AH319" t="s">
        <v>61</v>
      </c>
      <c r="AI319" t="s">
        <v>48</v>
      </c>
      <c r="AJ319" t="s">
        <v>62</v>
      </c>
      <c r="AK319" t="s">
        <v>63</v>
      </c>
      <c r="AL319" t="s">
        <v>376</v>
      </c>
      <c r="AM319" t="s">
        <v>46</v>
      </c>
      <c r="AN319" t="s">
        <v>60</v>
      </c>
      <c r="AO319" t="s">
        <v>62</v>
      </c>
      <c r="AP319" t="s">
        <v>639</v>
      </c>
      <c r="AQ319" t="s">
        <v>66</v>
      </c>
      <c r="AR319" t="s">
        <v>67</v>
      </c>
    </row>
    <row r="320" spans="1:44">
      <c r="A320" s="1">
        <v>45427</v>
      </c>
      <c r="B320" s="2">
        <v>0.24812500000000001</v>
      </c>
      <c r="C320" t="s">
        <v>44</v>
      </c>
      <c r="D320" t="s">
        <v>45</v>
      </c>
      <c r="E320">
        <v>0.55900000000000005</v>
      </c>
      <c r="F320" t="s">
        <v>46</v>
      </c>
      <c r="G320" t="s">
        <v>47</v>
      </c>
      <c r="H320" t="s">
        <v>45</v>
      </c>
      <c r="I320">
        <v>0.31040000000000001</v>
      </c>
      <c r="J320" t="s">
        <v>46</v>
      </c>
      <c r="K320" t="s">
        <v>48</v>
      </c>
      <c r="L320" t="s">
        <v>49</v>
      </c>
      <c r="M320" t="s">
        <v>50</v>
      </c>
      <c r="N320" t="s">
        <v>51</v>
      </c>
      <c r="O320">
        <v>3.45</v>
      </c>
      <c r="P320">
        <v>8.26</v>
      </c>
      <c r="Q320" t="s">
        <v>46</v>
      </c>
      <c r="R320" t="s">
        <v>52</v>
      </c>
      <c r="S320" t="s">
        <v>53</v>
      </c>
      <c r="T320" t="s">
        <v>46</v>
      </c>
      <c r="U320" t="s">
        <v>54</v>
      </c>
      <c r="V320" t="s">
        <v>55</v>
      </c>
      <c r="W320" t="s">
        <v>328</v>
      </c>
      <c r="X320" t="s">
        <v>213</v>
      </c>
      <c r="Y320">
        <v>1.38</v>
      </c>
      <c r="Z320" t="s">
        <v>46</v>
      </c>
      <c r="AA320" t="s">
        <v>58</v>
      </c>
      <c r="AB320" t="s">
        <v>59</v>
      </c>
      <c r="AC320">
        <v>283</v>
      </c>
      <c r="AD320" t="s">
        <v>46</v>
      </c>
      <c r="AE320" t="s">
        <v>60</v>
      </c>
      <c r="AF320" t="s">
        <v>45</v>
      </c>
      <c r="AG320" t="s">
        <v>46</v>
      </c>
      <c r="AH320" t="s">
        <v>61</v>
      </c>
      <c r="AI320" t="s">
        <v>48</v>
      </c>
      <c r="AJ320" t="s">
        <v>62</v>
      </c>
      <c r="AK320" t="s">
        <v>63</v>
      </c>
      <c r="AL320" t="s">
        <v>376</v>
      </c>
      <c r="AM320" t="s">
        <v>46</v>
      </c>
      <c r="AN320" t="s">
        <v>60</v>
      </c>
      <c r="AO320" t="s">
        <v>62</v>
      </c>
      <c r="AP320" t="s">
        <v>640</v>
      </c>
      <c r="AQ320" t="s">
        <v>66</v>
      </c>
      <c r="AR320" t="s">
        <v>67</v>
      </c>
    </row>
    <row r="321" spans="1:44">
      <c r="A321" s="1">
        <v>45427</v>
      </c>
      <c r="B321" s="2">
        <v>0.24818287037037037</v>
      </c>
      <c r="C321" t="s">
        <v>44</v>
      </c>
      <c r="D321" t="s">
        <v>45</v>
      </c>
      <c r="E321">
        <v>0.71899999999999997</v>
      </c>
      <c r="F321" t="s">
        <v>46</v>
      </c>
      <c r="G321" t="s">
        <v>47</v>
      </c>
      <c r="H321" t="s">
        <v>45</v>
      </c>
      <c r="I321">
        <v>0.3105</v>
      </c>
      <c r="J321" t="s">
        <v>46</v>
      </c>
      <c r="K321" t="s">
        <v>48</v>
      </c>
      <c r="L321" t="s">
        <v>49</v>
      </c>
      <c r="M321" t="s">
        <v>50</v>
      </c>
      <c r="N321" t="s">
        <v>51</v>
      </c>
      <c r="O321">
        <v>3.45</v>
      </c>
      <c r="P321">
        <v>8.26</v>
      </c>
      <c r="Q321" t="s">
        <v>46</v>
      </c>
      <c r="R321" t="s">
        <v>52</v>
      </c>
      <c r="S321" t="s">
        <v>53</v>
      </c>
      <c r="T321" t="s">
        <v>46</v>
      </c>
      <c r="U321" t="s">
        <v>54</v>
      </c>
      <c r="V321" t="s">
        <v>55</v>
      </c>
      <c r="W321" t="s">
        <v>330</v>
      </c>
      <c r="X321" t="s">
        <v>192</v>
      </c>
      <c r="Y321">
        <v>1.38</v>
      </c>
      <c r="Z321" t="s">
        <v>46</v>
      </c>
      <c r="AA321" t="s">
        <v>58</v>
      </c>
      <c r="AB321" t="s">
        <v>59</v>
      </c>
      <c r="AC321">
        <v>283</v>
      </c>
      <c r="AD321" t="s">
        <v>46</v>
      </c>
      <c r="AE321" t="s">
        <v>60</v>
      </c>
      <c r="AF321" t="s">
        <v>45</v>
      </c>
      <c r="AG321" t="s">
        <v>46</v>
      </c>
      <c r="AH321" t="s">
        <v>61</v>
      </c>
      <c r="AI321" t="s">
        <v>48</v>
      </c>
      <c r="AJ321" t="s">
        <v>62</v>
      </c>
      <c r="AK321" t="s">
        <v>63</v>
      </c>
      <c r="AL321" t="s">
        <v>376</v>
      </c>
      <c r="AM321" t="s">
        <v>46</v>
      </c>
      <c r="AN321" t="s">
        <v>60</v>
      </c>
      <c r="AO321" t="s">
        <v>62</v>
      </c>
      <c r="AP321" t="s">
        <v>641</v>
      </c>
      <c r="AQ321" t="s">
        <v>66</v>
      </c>
      <c r="AR321" t="s">
        <v>67</v>
      </c>
    </row>
    <row r="322" spans="1:44">
      <c r="A322" s="1">
        <v>45427</v>
      </c>
      <c r="B322" s="2">
        <v>0.24822916666666667</v>
      </c>
      <c r="C322" t="s">
        <v>44</v>
      </c>
      <c r="D322" t="s">
        <v>45</v>
      </c>
      <c r="E322">
        <v>0.53100000000000003</v>
      </c>
      <c r="F322" t="s">
        <v>46</v>
      </c>
      <c r="G322" t="s">
        <v>47</v>
      </c>
      <c r="H322" t="s">
        <v>45</v>
      </c>
      <c r="I322">
        <v>0.31019999999999998</v>
      </c>
      <c r="J322" t="s">
        <v>46</v>
      </c>
      <c r="K322" t="s">
        <v>48</v>
      </c>
      <c r="L322" t="s">
        <v>49</v>
      </c>
      <c r="M322" t="s">
        <v>50</v>
      </c>
      <c r="N322" t="s">
        <v>51</v>
      </c>
      <c r="O322">
        <v>3.45</v>
      </c>
      <c r="P322">
        <v>8.26</v>
      </c>
      <c r="Q322" t="s">
        <v>46</v>
      </c>
      <c r="R322" t="s">
        <v>52</v>
      </c>
      <c r="S322" t="s">
        <v>53</v>
      </c>
      <c r="T322" t="s">
        <v>46</v>
      </c>
      <c r="U322" t="s">
        <v>54</v>
      </c>
      <c r="V322" t="s">
        <v>55</v>
      </c>
      <c r="W322" t="s">
        <v>330</v>
      </c>
      <c r="X322" t="s">
        <v>192</v>
      </c>
      <c r="Y322">
        <v>1.38</v>
      </c>
      <c r="Z322" t="s">
        <v>46</v>
      </c>
      <c r="AA322" t="s">
        <v>58</v>
      </c>
      <c r="AB322" t="s">
        <v>59</v>
      </c>
      <c r="AC322">
        <v>283</v>
      </c>
      <c r="AD322" t="s">
        <v>46</v>
      </c>
      <c r="AE322" t="s">
        <v>60</v>
      </c>
      <c r="AF322" t="s">
        <v>45</v>
      </c>
      <c r="AG322" t="s">
        <v>46</v>
      </c>
      <c r="AH322" t="s">
        <v>61</v>
      </c>
      <c r="AI322" t="s">
        <v>48</v>
      </c>
      <c r="AJ322" t="s">
        <v>62</v>
      </c>
      <c r="AK322" t="s">
        <v>63</v>
      </c>
      <c r="AL322" t="s">
        <v>376</v>
      </c>
      <c r="AM322" t="s">
        <v>46</v>
      </c>
      <c r="AN322" t="s">
        <v>60</v>
      </c>
      <c r="AO322" t="s">
        <v>62</v>
      </c>
      <c r="AP322" t="s">
        <v>642</v>
      </c>
      <c r="AQ322" t="s">
        <v>66</v>
      </c>
      <c r="AR322" t="s">
        <v>67</v>
      </c>
    </row>
    <row r="323" spans="1:44">
      <c r="A323" s="1">
        <v>45427</v>
      </c>
      <c r="B323" s="2">
        <v>0.24827546296296296</v>
      </c>
      <c r="C323" t="s">
        <v>44</v>
      </c>
      <c r="D323" t="s">
        <v>45</v>
      </c>
      <c r="E323">
        <v>0.53100000000000003</v>
      </c>
      <c r="F323" t="s">
        <v>46</v>
      </c>
      <c r="G323" t="s">
        <v>47</v>
      </c>
      <c r="H323" t="s">
        <v>45</v>
      </c>
      <c r="I323">
        <v>0.31030000000000002</v>
      </c>
      <c r="J323" t="s">
        <v>46</v>
      </c>
      <c r="K323" t="s">
        <v>48</v>
      </c>
      <c r="L323" t="s">
        <v>49</v>
      </c>
      <c r="M323" t="s">
        <v>50</v>
      </c>
      <c r="N323" t="s">
        <v>51</v>
      </c>
      <c r="O323">
        <v>3.45</v>
      </c>
      <c r="P323">
        <v>8.26</v>
      </c>
      <c r="Q323" t="s">
        <v>46</v>
      </c>
      <c r="R323" t="s">
        <v>52</v>
      </c>
      <c r="S323" t="s">
        <v>53</v>
      </c>
      <c r="T323" t="s">
        <v>46</v>
      </c>
      <c r="U323" t="s">
        <v>54</v>
      </c>
      <c r="V323" t="s">
        <v>55</v>
      </c>
      <c r="W323" t="s">
        <v>430</v>
      </c>
      <c r="X323" t="s">
        <v>206</v>
      </c>
      <c r="Y323">
        <v>1.39</v>
      </c>
      <c r="Z323" t="s">
        <v>46</v>
      </c>
      <c r="AA323" t="s">
        <v>58</v>
      </c>
      <c r="AB323" t="s">
        <v>59</v>
      </c>
      <c r="AC323">
        <v>283</v>
      </c>
      <c r="AD323" t="s">
        <v>46</v>
      </c>
      <c r="AE323" t="s">
        <v>60</v>
      </c>
      <c r="AF323" t="s">
        <v>45</v>
      </c>
      <c r="AG323" t="s">
        <v>46</v>
      </c>
      <c r="AH323" t="s">
        <v>61</v>
      </c>
      <c r="AI323" t="s">
        <v>48</v>
      </c>
      <c r="AJ323" t="s">
        <v>62</v>
      </c>
      <c r="AK323" t="s">
        <v>63</v>
      </c>
      <c r="AL323" t="s">
        <v>376</v>
      </c>
      <c r="AM323" t="s">
        <v>46</v>
      </c>
      <c r="AN323" t="s">
        <v>60</v>
      </c>
      <c r="AO323" t="s">
        <v>62</v>
      </c>
      <c r="AP323" t="s">
        <v>643</v>
      </c>
      <c r="AQ323" t="s">
        <v>66</v>
      </c>
      <c r="AR323" t="s">
        <v>67</v>
      </c>
    </row>
    <row r="324" spans="1:44">
      <c r="A324" s="1">
        <v>45427</v>
      </c>
      <c r="B324" s="2">
        <v>0.24832175925925926</v>
      </c>
      <c r="C324" t="s">
        <v>44</v>
      </c>
      <c r="D324" t="s">
        <v>45</v>
      </c>
      <c r="E324">
        <v>0.75</v>
      </c>
      <c r="F324" t="s">
        <v>46</v>
      </c>
      <c r="G324" t="s">
        <v>47</v>
      </c>
      <c r="H324" t="s">
        <v>45</v>
      </c>
      <c r="I324">
        <v>0.31030000000000002</v>
      </c>
      <c r="J324" t="s">
        <v>46</v>
      </c>
      <c r="K324" t="s">
        <v>48</v>
      </c>
      <c r="L324" t="s">
        <v>49</v>
      </c>
      <c r="M324" t="s">
        <v>50</v>
      </c>
      <c r="N324" t="s">
        <v>51</v>
      </c>
      <c r="O324">
        <v>3.45</v>
      </c>
      <c r="P324">
        <v>8.26</v>
      </c>
      <c r="Q324" t="s">
        <v>46</v>
      </c>
      <c r="R324" t="s">
        <v>52</v>
      </c>
      <c r="S324" t="s">
        <v>53</v>
      </c>
      <c r="T324" t="s">
        <v>46</v>
      </c>
      <c r="U324" t="s">
        <v>54</v>
      </c>
      <c r="V324" t="s">
        <v>55</v>
      </c>
      <c r="W324" t="s">
        <v>203</v>
      </c>
      <c r="X324" t="s">
        <v>56</v>
      </c>
      <c r="Y324">
        <v>1.39</v>
      </c>
      <c r="Z324" t="s">
        <v>46</v>
      </c>
      <c r="AA324" t="s">
        <v>58</v>
      </c>
      <c r="AB324" t="s">
        <v>59</v>
      </c>
      <c r="AC324">
        <v>283</v>
      </c>
      <c r="AD324" t="s">
        <v>46</v>
      </c>
      <c r="AE324" t="s">
        <v>60</v>
      </c>
      <c r="AF324" t="s">
        <v>45</v>
      </c>
      <c r="AG324" t="s">
        <v>46</v>
      </c>
      <c r="AH324" t="s">
        <v>61</v>
      </c>
      <c r="AI324" t="s">
        <v>48</v>
      </c>
      <c r="AJ324" t="s">
        <v>62</v>
      </c>
      <c r="AK324" t="s">
        <v>63</v>
      </c>
      <c r="AL324" t="s">
        <v>376</v>
      </c>
      <c r="AM324" t="s">
        <v>46</v>
      </c>
      <c r="AN324" t="s">
        <v>60</v>
      </c>
      <c r="AO324" t="s">
        <v>62</v>
      </c>
      <c r="AP324" t="s">
        <v>644</v>
      </c>
      <c r="AQ324" t="s">
        <v>66</v>
      </c>
      <c r="AR324" t="s">
        <v>67</v>
      </c>
    </row>
    <row r="325" spans="1:44">
      <c r="A325" s="1">
        <v>45427</v>
      </c>
      <c r="B325" s="2">
        <v>0.24837962962962962</v>
      </c>
      <c r="C325" t="s">
        <v>44</v>
      </c>
      <c r="D325" t="s">
        <v>45</v>
      </c>
      <c r="E325">
        <v>0.52800000000000002</v>
      </c>
      <c r="F325" t="s">
        <v>46</v>
      </c>
      <c r="G325" t="s">
        <v>47</v>
      </c>
      <c r="H325" t="s">
        <v>45</v>
      </c>
      <c r="I325">
        <v>0.3105</v>
      </c>
      <c r="J325" t="s">
        <v>46</v>
      </c>
      <c r="K325" t="s">
        <v>48</v>
      </c>
      <c r="L325" t="s">
        <v>49</v>
      </c>
      <c r="M325" t="s">
        <v>50</v>
      </c>
      <c r="N325" t="s">
        <v>51</v>
      </c>
      <c r="O325">
        <v>3.45</v>
      </c>
      <c r="P325">
        <v>8.26</v>
      </c>
      <c r="Q325" t="s">
        <v>46</v>
      </c>
      <c r="R325" t="s">
        <v>52</v>
      </c>
      <c r="S325" t="s">
        <v>53</v>
      </c>
      <c r="T325" t="s">
        <v>46</v>
      </c>
      <c r="U325" t="s">
        <v>54</v>
      </c>
      <c r="V325" t="s">
        <v>55</v>
      </c>
      <c r="W325" t="s">
        <v>74</v>
      </c>
      <c r="X325" t="s">
        <v>74</v>
      </c>
      <c r="Y325">
        <v>1.39</v>
      </c>
      <c r="Z325" t="s">
        <v>46</v>
      </c>
      <c r="AA325" t="s">
        <v>58</v>
      </c>
      <c r="AB325" t="s">
        <v>59</v>
      </c>
      <c r="AC325">
        <v>283</v>
      </c>
      <c r="AD325" t="s">
        <v>46</v>
      </c>
      <c r="AE325" t="s">
        <v>60</v>
      </c>
      <c r="AF325" t="s">
        <v>45</v>
      </c>
      <c r="AG325" t="s">
        <v>46</v>
      </c>
      <c r="AH325" t="s">
        <v>61</v>
      </c>
      <c r="AI325" t="s">
        <v>48</v>
      </c>
      <c r="AJ325" t="s">
        <v>62</v>
      </c>
      <c r="AK325" t="s">
        <v>63</v>
      </c>
      <c r="AL325" t="s">
        <v>376</v>
      </c>
      <c r="AM325" t="s">
        <v>46</v>
      </c>
      <c r="AN325" t="s">
        <v>60</v>
      </c>
      <c r="AO325" t="s">
        <v>62</v>
      </c>
      <c r="AP325" t="s">
        <v>645</v>
      </c>
      <c r="AQ325" t="s">
        <v>66</v>
      </c>
      <c r="AR325" t="s">
        <v>67</v>
      </c>
    </row>
    <row r="326" spans="1:44">
      <c r="A326" s="1">
        <v>45427</v>
      </c>
      <c r="B326" s="2">
        <v>0.24842592592592594</v>
      </c>
      <c r="C326" t="s">
        <v>44</v>
      </c>
      <c r="D326" t="s">
        <v>45</v>
      </c>
      <c r="E326">
        <v>0.58799999999999997</v>
      </c>
      <c r="F326" t="s">
        <v>46</v>
      </c>
      <c r="G326" t="s">
        <v>47</v>
      </c>
      <c r="H326" t="s">
        <v>45</v>
      </c>
      <c r="I326">
        <v>0.3105</v>
      </c>
      <c r="J326" t="s">
        <v>46</v>
      </c>
      <c r="K326" t="s">
        <v>48</v>
      </c>
      <c r="L326" t="s">
        <v>49</v>
      </c>
      <c r="M326" t="s">
        <v>50</v>
      </c>
      <c r="N326" t="s">
        <v>51</v>
      </c>
      <c r="O326">
        <v>3.45</v>
      </c>
      <c r="P326">
        <v>8.26</v>
      </c>
      <c r="Q326" t="s">
        <v>46</v>
      </c>
      <c r="R326" t="s">
        <v>52</v>
      </c>
      <c r="S326" t="s">
        <v>53</v>
      </c>
      <c r="T326" t="s">
        <v>46</v>
      </c>
      <c r="U326" t="s">
        <v>54</v>
      </c>
      <c r="V326" t="s">
        <v>55</v>
      </c>
      <c r="W326" t="s">
        <v>192</v>
      </c>
      <c r="X326" t="s">
        <v>498</v>
      </c>
      <c r="Y326">
        <v>1.39</v>
      </c>
      <c r="Z326" t="s">
        <v>46</v>
      </c>
      <c r="AA326" t="s">
        <v>58</v>
      </c>
      <c r="AB326" t="s">
        <v>59</v>
      </c>
      <c r="AC326">
        <v>283</v>
      </c>
      <c r="AD326" t="s">
        <v>46</v>
      </c>
      <c r="AE326" t="s">
        <v>60</v>
      </c>
      <c r="AF326" t="s">
        <v>45</v>
      </c>
      <c r="AG326" t="s">
        <v>46</v>
      </c>
      <c r="AH326" t="s">
        <v>61</v>
      </c>
      <c r="AI326" t="s">
        <v>48</v>
      </c>
      <c r="AJ326" t="s">
        <v>62</v>
      </c>
      <c r="AK326" t="s">
        <v>63</v>
      </c>
      <c r="AL326" t="s">
        <v>376</v>
      </c>
      <c r="AM326" t="s">
        <v>46</v>
      </c>
      <c r="AN326" t="s">
        <v>60</v>
      </c>
      <c r="AO326" t="s">
        <v>62</v>
      </c>
      <c r="AP326" t="s">
        <v>646</v>
      </c>
      <c r="AQ326" t="s">
        <v>66</v>
      </c>
      <c r="AR326" t="s">
        <v>67</v>
      </c>
    </row>
    <row r="327" spans="1:44">
      <c r="A327" s="1">
        <v>45427</v>
      </c>
      <c r="B327" s="2">
        <v>0.24847222222222223</v>
      </c>
      <c r="C327" t="s">
        <v>44</v>
      </c>
      <c r="D327" t="s">
        <v>45</v>
      </c>
      <c r="E327">
        <v>0.93500000000000005</v>
      </c>
      <c r="F327" t="s">
        <v>46</v>
      </c>
      <c r="G327" t="s">
        <v>47</v>
      </c>
      <c r="H327" t="s">
        <v>45</v>
      </c>
      <c r="I327">
        <v>0.31059999999999999</v>
      </c>
      <c r="J327" t="s">
        <v>46</v>
      </c>
      <c r="K327" t="s">
        <v>48</v>
      </c>
      <c r="L327" t="s">
        <v>49</v>
      </c>
      <c r="M327" t="s">
        <v>50</v>
      </c>
      <c r="N327" t="s">
        <v>51</v>
      </c>
      <c r="O327">
        <v>3.45</v>
      </c>
      <c r="P327">
        <v>8.26</v>
      </c>
      <c r="Q327" t="s">
        <v>46</v>
      </c>
      <c r="R327" t="s">
        <v>52</v>
      </c>
      <c r="S327" t="s">
        <v>53</v>
      </c>
      <c r="T327" t="s">
        <v>46</v>
      </c>
      <c r="U327" t="s">
        <v>54</v>
      </c>
      <c r="V327" t="s">
        <v>55</v>
      </c>
      <c r="W327" t="s">
        <v>188</v>
      </c>
      <c r="X327" t="s">
        <v>498</v>
      </c>
      <c r="Y327">
        <v>1.38</v>
      </c>
      <c r="Z327" t="s">
        <v>46</v>
      </c>
      <c r="AA327" t="s">
        <v>58</v>
      </c>
      <c r="AB327" t="s">
        <v>59</v>
      </c>
      <c r="AC327">
        <v>283</v>
      </c>
      <c r="AD327" t="s">
        <v>46</v>
      </c>
      <c r="AE327" t="s">
        <v>60</v>
      </c>
      <c r="AF327" t="s">
        <v>45</v>
      </c>
      <c r="AG327" t="s">
        <v>46</v>
      </c>
      <c r="AH327" t="s">
        <v>61</v>
      </c>
      <c r="AI327" t="s">
        <v>48</v>
      </c>
      <c r="AJ327" t="s">
        <v>62</v>
      </c>
      <c r="AK327" t="s">
        <v>63</v>
      </c>
      <c r="AL327" t="s">
        <v>376</v>
      </c>
      <c r="AM327" t="s">
        <v>46</v>
      </c>
      <c r="AN327" t="s">
        <v>60</v>
      </c>
      <c r="AO327" t="s">
        <v>62</v>
      </c>
      <c r="AP327" t="s">
        <v>647</v>
      </c>
      <c r="AQ327" t="s">
        <v>66</v>
      </c>
      <c r="AR327" t="s">
        <v>67</v>
      </c>
    </row>
    <row r="328" spans="1:44">
      <c r="A328" s="1">
        <v>45427</v>
      </c>
      <c r="B328" s="2">
        <v>0.24851851851851853</v>
      </c>
      <c r="C328" t="s">
        <v>44</v>
      </c>
      <c r="D328" t="s">
        <v>45</v>
      </c>
      <c r="E328">
        <v>0.6</v>
      </c>
      <c r="F328" t="s">
        <v>46</v>
      </c>
      <c r="G328" t="s">
        <v>47</v>
      </c>
      <c r="H328" t="s">
        <v>45</v>
      </c>
      <c r="I328">
        <v>0.3105</v>
      </c>
      <c r="J328" t="s">
        <v>46</v>
      </c>
      <c r="K328" t="s">
        <v>48</v>
      </c>
      <c r="L328" t="s">
        <v>49</v>
      </c>
      <c r="M328" t="s">
        <v>50</v>
      </c>
      <c r="N328" t="s">
        <v>51</v>
      </c>
      <c r="O328">
        <v>3.45</v>
      </c>
      <c r="P328">
        <v>8.26</v>
      </c>
      <c r="Q328" t="s">
        <v>46</v>
      </c>
      <c r="R328" t="s">
        <v>52</v>
      </c>
      <c r="S328" t="s">
        <v>53</v>
      </c>
      <c r="T328" t="s">
        <v>46</v>
      </c>
      <c r="U328" t="s">
        <v>54</v>
      </c>
      <c r="V328" t="s">
        <v>55</v>
      </c>
      <c r="W328" t="s">
        <v>188</v>
      </c>
      <c r="X328" t="s">
        <v>498</v>
      </c>
      <c r="Y328">
        <v>1.38</v>
      </c>
      <c r="Z328" t="s">
        <v>46</v>
      </c>
      <c r="AA328" t="s">
        <v>58</v>
      </c>
      <c r="AB328" t="s">
        <v>59</v>
      </c>
      <c r="AC328">
        <v>283</v>
      </c>
      <c r="AD328" t="s">
        <v>46</v>
      </c>
      <c r="AE328" t="s">
        <v>60</v>
      </c>
      <c r="AF328" t="s">
        <v>45</v>
      </c>
      <c r="AG328" t="s">
        <v>46</v>
      </c>
      <c r="AH328" t="s">
        <v>61</v>
      </c>
      <c r="AI328" t="s">
        <v>48</v>
      </c>
      <c r="AJ328" t="s">
        <v>62</v>
      </c>
      <c r="AK328" t="s">
        <v>63</v>
      </c>
      <c r="AL328" t="s">
        <v>376</v>
      </c>
      <c r="AM328" t="s">
        <v>46</v>
      </c>
      <c r="AN328" t="s">
        <v>60</v>
      </c>
      <c r="AO328" t="s">
        <v>62</v>
      </c>
      <c r="AP328" t="s">
        <v>648</v>
      </c>
      <c r="AQ328" t="s">
        <v>66</v>
      </c>
      <c r="AR328" t="s">
        <v>67</v>
      </c>
    </row>
    <row r="329" spans="1:44">
      <c r="A329" s="1">
        <v>45427</v>
      </c>
      <c r="B329" s="2">
        <v>0.24857638888888889</v>
      </c>
      <c r="C329" t="s">
        <v>44</v>
      </c>
      <c r="D329" t="s">
        <v>45</v>
      </c>
      <c r="E329">
        <v>0.55900000000000005</v>
      </c>
      <c r="F329" t="s">
        <v>46</v>
      </c>
      <c r="G329" t="s">
        <v>47</v>
      </c>
      <c r="H329" t="s">
        <v>45</v>
      </c>
      <c r="I329">
        <v>0.3105</v>
      </c>
      <c r="J329" t="s">
        <v>46</v>
      </c>
      <c r="K329" t="s">
        <v>48</v>
      </c>
      <c r="L329" t="s">
        <v>49</v>
      </c>
      <c r="M329" t="s">
        <v>50</v>
      </c>
      <c r="N329" t="s">
        <v>51</v>
      </c>
      <c r="O329">
        <v>3.45</v>
      </c>
      <c r="P329">
        <v>8.26</v>
      </c>
      <c r="Q329" t="s">
        <v>46</v>
      </c>
      <c r="R329" t="s">
        <v>52</v>
      </c>
      <c r="S329" t="s">
        <v>53</v>
      </c>
      <c r="T329" t="s">
        <v>46</v>
      </c>
      <c r="U329" t="s">
        <v>54</v>
      </c>
      <c r="V329" t="s">
        <v>55</v>
      </c>
      <c r="W329" t="s">
        <v>292</v>
      </c>
      <c r="X329" t="s">
        <v>213</v>
      </c>
      <c r="Y329">
        <v>1.38</v>
      </c>
      <c r="Z329" t="s">
        <v>46</v>
      </c>
      <c r="AA329" t="s">
        <v>58</v>
      </c>
      <c r="AB329" t="s">
        <v>59</v>
      </c>
      <c r="AC329">
        <v>283</v>
      </c>
      <c r="AD329" t="s">
        <v>46</v>
      </c>
      <c r="AE329" t="s">
        <v>60</v>
      </c>
      <c r="AF329" t="s">
        <v>45</v>
      </c>
      <c r="AG329" t="s">
        <v>46</v>
      </c>
      <c r="AH329" t="s">
        <v>61</v>
      </c>
      <c r="AI329" t="s">
        <v>48</v>
      </c>
      <c r="AJ329" t="s">
        <v>62</v>
      </c>
      <c r="AK329" t="s">
        <v>63</v>
      </c>
      <c r="AL329" t="s">
        <v>376</v>
      </c>
      <c r="AM329" t="s">
        <v>46</v>
      </c>
      <c r="AN329" t="s">
        <v>60</v>
      </c>
      <c r="AO329" t="s">
        <v>62</v>
      </c>
      <c r="AP329" t="s">
        <v>649</v>
      </c>
      <c r="AQ329" t="s">
        <v>66</v>
      </c>
      <c r="AR329" t="s">
        <v>67</v>
      </c>
    </row>
    <row r="330" spans="1:44">
      <c r="A330" s="1">
        <v>45427</v>
      </c>
      <c r="B330" s="2">
        <v>0.24862268518518518</v>
      </c>
      <c r="C330" t="s">
        <v>44</v>
      </c>
      <c r="D330" t="s">
        <v>45</v>
      </c>
      <c r="E330">
        <v>0.75800000000000001</v>
      </c>
      <c r="F330" t="s">
        <v>46</v>
      </c>
      <c r="G330" t="s">
        <v>47</v>
      </c>
      <c r="H330" t="s">
        <v>45</v>
      </c>
      <c r="I330">
        <v>0.31030000000000002</v>
      </c>
      <c r="J330" t="s">
        <v>46</v>
      </c>
      <c r="K330" t="s">
        <v>48</v>
      </c>
      <c r="L330" t="s">
        <v>49</v>
      </c>
      <c r="M330" t="s">
        <v>50</v>
      </c>
      <c r="N330" t="s">
        <v>51</v>
      </c>
      <c r="O330">
        <v>3.45</v>
      </c>
      <c r="P330">
        <v>8.26</v>
      </c>
      <c r="Q330" t="s">
        <v>46</v>
      </c>
      <c r="R330" t="s">
        <v>52</v>
      </c>
      <c r="S330" t="s">
        <v>53</v>
      </c>
      <c r="T330" t="s">
        <v>46</v>
      </c>
      <c r="U330" t="s">
        <v>54</v>
      </c>
      <c r="V330" t="s">
        <v>55</v>
      </c>
      <c r="W330" t="s">
        <v>300</v>
      </c>
      <c r="X330" t="s">
        <v>71</v>
      </c>
      <c r="Y330">
        <v>1.37</v>
      </c>
      <c r="Z330" t="s">
        <v>46</v>
      </c>
      <c r="AA330" t="s">
        <v>58</v>
      </c>
      <c r="AB330" t="s">
        <v>59</v>
      </c>
      <c r="AC330">
        <v>283</v>
      </c>
      <c r="AD330" t="s">
        <v>46</v>
      </c>
      <c r="AE330" t="s">
        <v>60</v>
      </c>
      <c r="AF330" t="s">
        <v>45</v>
      </c>
      <c r="AG330" t="s">
        <v>46</v>
      </c>
      <c r="AH330" t="s">
        <v>61</v>
      </c>
      <c r="AI330" t="s">
        <v>48</v>
      </c>
      <c r="AJ330" t="s">
        <v>62</v>
      </c>
      <c r="AK330" t="s">
        <v>63</v>
      </c>
      <c r="AL330" t="s">
        <v>376</v>
      </c>
      <c r="AM330" t="s">
        <v>46</v>
      </c>
      <c r="AN330" t="s">
        <v>60</v>
      </c>
      <c r="AO330" t="s">
        <v>62</v>
      </c>
      <c r="AP330" t="s">
        <v>650</v>
      </c>
      <c r="AQ330" t="s">
        <v>66</v>
      </c>
      <c r="AR330" t="s">
        <v>67</v>
      </c>
    </row>
    <row r="331" spans="1:44">
      <c r="A331" s="1">
        <v>45427</v>
      </c>
      <c r="B331" s="2">
        <v>0.24866898148148148</v>
      </c>
      <c r="C331" t="s">
        <v>44</v>
      </c>
      <c r="D331" t="s">
        <v>45</v>
      </c>
      <c r="E331">
        <v>0.51600000000000001</v>
      </c>
      <c r="F331" t="s">
        <v>46</v>
      </c>
      <c r="G331" t="s">
        <v>47</v>
      </c>
      <c r="H331" t="s">
        <v>45</v>
      </c>
      <c r="I331">
        <v>0.31030000000000002</v>
      </c>
      <c r="J331" t="s">
        <v>46</v>
      </c>
      <c r="K331" t="s">
        <v>48</v>
      </c>
      <c r="L331" t="s">
        <v>49</v>
      </c>
      <c r="M331" t="s">
        <v>50</v>
      </c>
      <c r="N331" t="s">
        <v>51</v>
      </c>
      <c r="O331">
        <v>3.45</v>
      </c>
      <c r="P331">
        <v>8.26</v>
      </c>
      <c r="Q331" t="s">
        <v>46</v>
      </c>
      <c r="R331" t="s">
        <v>52</v>
      </c>
      <c r="S331" t="s">
        <v>53</v>
      </c>
      <c r="T331" t="s">
        <v>46</v>
      </c>
      <c r="U331" t="s">
        <v>54</v>
      </c>
      <c r="V331" t="s">
        <v>55</v>
      </c>
      <c r="W331" t="s">
        <v>195</v>
      </c>
      <c r="X331" t="s">
        <v>460</v>
      </c>
      <c r="Y331">
        <v>1.38</v>
      </c>
      <c r="Z331" t="s">
        <v>46</v>
      </c>
      <c r="AA331" t="s">
        <v>58</v>
      </c>
      <c r="AB331" t="s">
        <v>59</v>
      </c>
      <c r="AC331">
        <v>283</v>
      </c>
      <c r="AD331" t="s">
        <v>46</v>
      </c>
      <c r="AE331" t="s">
        <v>60</v>
      </c>
      <c r="AF331" t="s">
        <v>45</v>
      </c>
      <c r="AG331" t="s">
        <v>46</v>
      </c>
      <c r="AH331" t="s">
        <v>61</v>
      </c>
      <c r="AI331" t="s">
        <v>48</v>
      </c>
      <c r="AJ331" t="s">
        <v>62</v>
      </c>
      <c r="AK331" t="s">
        <v>63</v>
      </c>
      <c r="AL331" t="s">
        <v>376</v>
      </c>
      <c r="AM331" t="s">
        <v>46</v>
      </c>
      <c r="AN331" t="s">
        <v>60</v>
      </c>
      <c r="AO331" t="s">
        <v>62</v>
      </c>
      <c r="AP331" t="s">
        <v>651</v>
      </c>
      <c r="AQ331" t="s">
        <v>66</v>
      </c>
      <c r="AR331" t="s">
        <v>67</v>
      </c>
    </row>
    <row r="332" spans="1:44">
      <c r="A332" s="1">
        <v>45427</v>
      </c>
      <c r="B332" s="2">
        <v>0.24871527777777777</v>
      </c>
      <c r="C332" t="s">
        <v>44</v>
      </c>
      <c r="D332" t="s">
        <v>45</v>
      </c>
      <c r="E332">
        <v>0.59399999999999997</v>
      </c>
      <c r="F332" t="s">
        <v>46</v>
      </c>
      <c r="G332" t="s">
        <v>47</v>
      </c>
      <c r="H332" t="s">
        <v>45</v>
      </c>
      <c r="I332">
        <v>0.31040000000000001</v>
      </c>
      <c r="J332" t="s">
        <v>46</v>
      </c>
      <c r="K332" t="s">
        <v>48</v>
      </c>
      <c r="L332" t="s">
        <v>49</v>
      </c>
      <c r="M332" t="s">
        <v>50</v>
      </c>
      <c r="N332" t="s">
        <v>51</v>
      </c>
      <c r="O332">
        <v>3.45</v>
      </c>
      <c r="P332">
        <v>8.26</v>
      </c>
      <c r="Q332" t="s">
        <v>46</v>
      </c>
      <c r="R332" t="s">
        <v>52</v>
      </c>
      <c r="S332" t="s">
        <v>53</v>
      </c>
      <c r="T332" t="s">
        <v>46</v>
      </c>
      <c r="U332" t="s">
        <v>54</v>
      </c>
      <c r="V332" t="s">
        <v>55</v>
      </c>
      <c r="W332" t="s">
        <v>112</v>
      </c>
      <c r="X332" t="s">
        <v>460</v>
      </c>
      <c r="Y332">
        <v>1.38</v>
      </c>
      <c r="Z332" t="s">
        <v>46</v>
      </c>
      <c r="AA332" t="s">
        <v>58</v>
      </c>
      <c r="AB332" t="s">
        <v>59</v>
      </c>
      <c r="AC332">
        <v>283</v>
      </c>
      <c r="AD332" t="s">
        <v>46</v>
      </c>
      <c r="AE332" t="s">
        <v>60</v>
      </c>
      <c r="AF332" t="s">
        <v>45</v>
      </c>
      <c r="AG332" t="s">
        <v>46</v>
      </c>
      <c r="AH332" t="s">
        <v>61</v>
      </c>
      <c r="AI332" t="s">
        <v>48</v>
      </c>
      <c r="AJ332" t="s">
        <v>62</v>
      </c>
      <c r="AK332" t="s">
        <v>63</v>
      </c>
      <c r="AL332" t="s">
        <v>376</v>
      </c>
      <c r="AM332" t="s">
        <v>46</v>
      </c>
      <c r="AN332" t="s">
        <v>60</v>
      </c>
      <c r="AO332" t="s">
        <v>62</v>
      </c>
      <c r="AP332" t="s">
        <v>652</v>
      </c>
      <c r="AQ332" t="s">
        <v>66</v>
      </c>
      <c r="AR332" t="s">
        <v>67</v>
      </c>
    </row>
    <row r="333" spans="1:44">
      <c r="A333" s="1">
        <v>45427</v>
      </c>
      <c r="B333" s="2">
        <v>0.24876157407407407</v>
      </c>
      <c r="C333" t="s">
        <v>44</v>
      </c>
      <c r="D333" t="s">
        <v>45</v>
      </c>
      <c r="E333">
        <v>0.91200000000000003</v>
      </c>
      <c r="F333" t="s">
        <v>46</v>
      </c>
      <c r="G333" t="s">
        <v>47</v>
      </c>
      <c r="H333" t="s">
        <v>45</v>
      </c>
      <c r="I333">
        <v>0.31019999999999998</v>
      </c>
      <c r="J333" t="s">
        <v>46</v>
      </c>
      <c r="K333" t="s">
        <v>48</v>
      </c>
      <c r="L333" t="s">
        <v>49</v>
      </c>
      <c r="M333" t="s">
        <v>50</v>
      </c>
      <c r="N333" t="s">
        <v>51</v>
      </c>
      <c r="O333">
        <v>3.45</v>
      </c>
      <c r="P333">
        <v>8.26</v>
      </c>
      <c r="Q333" t="s">
        <v>46</v>
      </c>
      <c r="R333" t="s">
        <v>52</v>
      </c>
      <c r="S333" t="s">
        <v>53</v>
      </c>
      <c r="T333" t="s">
        <v>46</v>
      </c>
      <c r="U333" t="s">
        <v>54</v>
      </c>
      <c r="V333" t="s">
        <v>55</v>
      </c>
      <c r="W333" t="s">
        <v>627</v>
      </c>
      <c r="X333" t="s">
        <v>132</v>
      </c>
      <c r="Y333">
        <v>1.4</v>
      </c>
      <c r="Z333" t="s">
        <v>46</v>
      </c>
      <c r="AA333" t="s">
        <v>58</v>
      </c>
      <c r="AB333" t="s">
        <v>59</v>
      </c>
      <c r="AC333">
        <v>283</v>
      </c>
      <c r="AD333" t="s">
        <v>46</v>
      </c>
      <c r="AE333" t="s">
        <v>60</v>
      </c>
      <c r="AF333" t="s">
        <v>45</v>
      </c>
      <c r="AG333" t="s">
        <v>46</v>
      </c>
      <c r="AH333" t="s">
        <v>61</v>
      </c>
      <c r="AI333" t="s">
        <v>48</v>
      </c>
      <c r="AJ333" t="s">
        <v>62</v>
      </c>
      <c r="AK333" t="s">
        <v>63</v>
      </c>
      <c r="AL333" t="s">
        <v>376</v>
      </c>
      <c r="AM333" t="s">
        <v>46</v>
      </c>
      <c r="AN333" t="s">
        <v>60</v>
      </c>
      <c r="AO333" t="s">
        <v>62</v>
      </c>
      <c r="AP333" t="s">
        <v>653</v>
      </c>
      <c r="AQ333" t="s">
        <v>66</v>
      </c>
      <c r="AR333" t="s">
        <v>67</v>
      </c>
    </row>
    <row r="334" spans="1:44">
      <c r="A334" s="1">
        <v>45427</v>
      </c>
      <c r="B334" s="2">
        <v>0.24881944444444445</v>
      </c>
      <c r="C334" t="s">
        <v>44</v>
      </c>
      <c r="D334" t="s">
        <v>45</v>
      </c>
      <c r="E334">
        <v>0.82399999999999995</v>
      </c>
      <c r="F334" t="s">
        <v>46</v>
      </c>
      <c r="G334" t="s">
        <v>47</v>
      </c>
      <c r="H334" t="s">
        <v>45</v>
      </c>
      <c r="I334">
        <v>0.31019999999999998</v>
      </c>
      <c r="J334" t="s">
        <v>46</v>
      </c>
      <c r="K334" t="s">
        <v>48</v>
      </c>
      <c r="L334" t="s">
        <v>49</v>
      </c>
      <c r="M334" t="s">
        <v>50</v>
      </c>
      <c r="N334" t="s">
        <v>51</v>
      </c>
      <c r="O334">
        <v>3.45</v>
      </c>
      <c r="P334">
        <v>8.26</v>
      </c>
      <c r="Q334" t="s">
        <v>46</v>
      </c>
      <c r="R334" t="s">
        <v>52</v>
      </c>
      <c r="S334" t="s">
        <v>53</v>
      </c>
      <c r="T334" t="s">
        <v>46</v>
      </c>
      <c r="U334" t="s">
        <v>54</v>
      </c>
      <c r="V334" t="s">
        <v>55</v>
      </c>
      <c r="W334" t="s">
        <v>654</v>
      </c>
      <c r="X334" t="s">
        <v>203</v>
      </c>
      <c r="Y334">
        <v>1.4</v>
      </c>
      <c r="Z334" t="s">
        <v>46</v>
      </c>
      <c r="AA334" t="s">
        <v>58</v>
      </c>
      <c r="AB334" t="s">
        <v>59</v>
      </c>
      <c r="AC334">
        <v>283</v>
      </c>
      <c r="AD334" t="s">
        <v>46</v>
      </c>
      <c r="AE334" t="s">
        <v>60</v>
      </c>
      <c r="AF334" t="s">
        <v>45</v>
      </c>
      <c r="AG334" t="s">
        <v>46</v>
      </c>
      <c r="AH334" t="s">
        <v>61</v>
      </c>
      <c r="AI334" t="s">
        <v>48</v>
      </c>
      <c r="AJ334" t="s">
        <v>62</v>
      </c>
      <c r="AK334" t="s">
        <v>63</v>
      </c>
      <c r="AL334" t="s">
        <v>376</v>
      </c>
      <c r="AM334" t="s">
        <v>46</v>
      </c>
      <c r="AN334" t="s">
        <v>60</v>
      </c>
      <c r="AO334" t="s">
        <v>62</v>
      </c>
      <c r="AP334" t="s">
        <v>655</v>
      </c>
      <c r="AQ334" t="s">
        <v>66</v>
      </c>
      <c r="AR334" t="s">
        <v>67</v>
      </c>
    </row>
    <row r="335" spans="1:44">
      <c r="A335" s="1">
        <v>45427</v>
      </c>
      <c r="B335" s="2">
        <v>0.24886574074074075</v>
      </c>
      <c r="C335" t="s">
        <v>44</v>
      </c>
      <c r="D335" t="s">
        <v>45</v>
      </c>
      <c r="E335">
        <v>0.52900000000000003</v>
      </c>
      <c r="F335" t="s">
        <v>46</v>
      </c>
      <c r="G335" t="s">
        <v>47</v>
      </c>
      <c r="H335" t="s">
        <v>45</v>
      </c>
      <c r="I335">
        <v>0.3105</v>
      </c>
      <c r="J335" t="s">
        <v>46</v>
      </c>
      <c r="K335" t="s">
        <v>48</v>
      </c>
      <c r="L335" t="s">
        <v>49</v>
      </c>
      <c r="M335" t="s">
        <v>50</v>
      </c>
      <c r="N335" t="s">
        <v>51</v>
      </c>
      <c r="O335">
        <v>3.45</v>
      </c>
      <c r="P335">
        <v>8.26</v>
      </c>
      <c r="Q335" t="s">
        <v>46</v>
      </c>
      <c r="R335" t="s">
        <v>52</v>
      </c>
      <c r="S335" t="s">
        <v>53</v>
      </c>
      <c r="T335" t="s">
        <v>46</v>
      </c>
      <c r="U335" t="s">
        <v>54</v>
      </c>
      <c r="V335" t="s">
        <v>55</v>
      </c>
      <c r="W335" t="s">
        <v>654</v>
      </c>
      <c r="X335" t="s">
        <v>203</v>
      </c>
      <c r="Y335">
        <v>1.4</v>
      </c>
      <c r="Z335" t="s">
        <v>46</v>
      </c>
      <c r="AA335" t="s">
        <v>58</v>
      </c>
      <c r="AB335" t="s">
        <v>59</v>
      </c>
      <c r="AC335">
        <v>283</v>
      </c>
      <c r="AD335" t="s">
        <v>46</v>
      </c>
      <c r="AE335" t="s">
        <v>60</v>
      </c>
      <c r="AF335" t="s">
        <v>45</v>
      </c>
      <c r="AG335" t="s">
        <v>46</v>
      </c>
      <c r="AH335" t="s">
        <v>61</v>
      </c>
      <c r="AI335" t="s">
        <v>48</v>
      </c>
      <c r="AJ335" t="s">
        <v>62</v>
      </c>
      <c r="AK335" t="s">
        <v>63</v>
      </c>
      <c r="AL335" t="s">
        <v>376</v>
      </c>
      <c r="AM335" t="s">
        <v>46</v>
      </c>
      <c r="AN335" t="s">
        <v>60</v>
      </c>
      <c r="AO335" t="s">
        <v>62</v>
      </c>
      <c r="AP335" t="s">
        <v>656</v>
      </c>
      <c r="AQ335" t="s">
        <v>66</v>
      </c>
      <c r="AR335" t="s">
        <v>67</v>
      </c>
    </row>
    <row r="336" spans="1:44">
      <c r="A336" s="1">
        <v>45427</v>
      </c>
      <c r="B336" s="2">
        <v>0.24891203703703704</v>
      </c>
      <c r="C336" t="s">
        <v>44</v>
      </c>
      <c r="D336" t="s">
        <v>45</v>
      </c>
      <c r="E336">
        <v>0.75</v>
      </c>
      <c r="F336" t="s">
        <v>46</v>
      </c>
      <c r="G336" t="s">
        <v>47</v>
      </c>
      <c r="H336" t="s">
        <v>45</v>
      </c>
      <c r="I336">
        <v>0.31040000000000001</v>
      </c>
      <c r="J336" t="s">
        <v>46</v>
      </c>
      <c r="K336" t="s">
        <v>48</v>
      </c>
      <c r="L336" t="s">
        <v>49</v>
      </c>
      <c r="M336" t="s">
        <v>50</v>
      </c>
      <c r="N336" t="s">
        <v>51</v>
      </c>
      <c r="O336">
        <v>3.45</v>
      </c>
      <c r="P336">
        <v>8.26</v>
      </c>
      <c r="Q336" t="s">
        <v>46</v>
      </c>
      <c r="R336" t="s">
        <v>52</v>
      </c>
      <c r="S336" t="s">
        <v>53</v>
      </c>
      <c r="T336" t="s">
        <v>46</v>
      </c>
      <c r="U336" t="s">
        <v>54</v>
      </c>
      <c r="V336" t="s">
        <v>55</v>
      </c>
      <c r="W336" t="s">
        <v>547</v>
      </c>
      <c r="X336" t="s">
        <v>132</v>
      </c>
      <c r="Y336">
        <v>1.4</v>
      </c>
      <c r="Z336" t="s">
        <v>46</v>
      </c>
      <c r="AA336" t="s">
        <v>58</v>
      </c>
      <c r="AB336" t="s">
        <v>59</v>
      </c>
      <c r="AC336">
        <v>283</v>
      </c>
      <c r="AD336" t="s">
        <v>46</v>
      </c>
      <c r="AE336" t="s">
        <v>60</v>
      </c>
      <c r="AF336" t="s">
        <v>45</v>
      </c>
      <c r="AG336" t="s">
        <v>46</v>
      </c>
      <c r="AH336" t="s">
        <v>61</v>
      </c>
      <c r="AI336" t="s">
        <v>48</v>
      </c>
      <c r="AJ336" t="s">
        <v>62</v>
      </c>
      <c r="AK336" t="s">
        <v>63</v>
      </c>
      <c r="AL336" t="s">
        <v>376</v>
      </c>
      <c r="AM336" t="s">
        <v>46</v>
      </c>
      <c r="AN336" t="s">
        <v>60</v>
      </c>
      <c r="AO336" t="s">
        <v>62</v>
      </c>
      <c r="AP336" t="s">
        <v>657</v>
      </c>
      <c r="AQ336" t="s">
        <v>66</v>
      </c>
      <c r="AR336" t="s">
        <v>67</v>
      </c>
    </row>
    <row r="337" spans="1:44">
      <c r="A337" s="1">
        <v>45427</v>
      </c>
      <c r="B337" s="2">
        <v>0.24895833333333334</v>
      </c>
      <c r="C337" t="s">
        <v>44</v>
      </c>
      <c r="D337" t="s">
        <v>45</v>
      </c>
      <c r="E337">
        <v>0.55900000000000005</v>
      </c>
      <c r="F337" t="s">
        <v>46</v>
      </c>
      <c r="G337" t="s">
        <v>47</v>
      </c>
      <c r="H337" t="s">
        <v>45</v>
      </c>
      <c r="I337">
        <v>0.3105</v>
      </c>
      <c r="J337" t="s">
        <v>46</v>
      </c>
      <c r="K337" t="s">
        <v>48</v>
      </c>
      <c r="L337" t="s">
        <v>49</v>
      </c>
      <c r="M337" t="s">
        <v>50</v>
      </c>
      <c r="N337" t="s">
        <v>51</v>
      </c>
      <c r="O337">
        <v>3.45</v>
      </c>
      <c r="P337">
        <v>8.26</v>
      </c>
      <c r="Q337" t="s">
        <v>46</v>
      </c>
      <c r="R337" t="s">
        <v>52</v>
      </c>
      <c r="S337" t="s">
        <v>53</v>
      </c>
      <c r="T337" t="s">
        <v>46</v>
      </c>
      <c r="U337" t="s">
        <v>54</v>
      </c>
      <c r="V337" t="s">
        <v>55</v>
      </c>
      <c r="W337" t="s">
        <v>139</v>
      </c>
      <c r="X337" t="s">
        <v>132</v>
      </c>
      <c r="Y337">
        <v>1.4</v>
      </c>
      <c r="Z337" t="s">
        <v>46</v>
      </c>
      <c r="AA337" t="s">
        <v>58</v>
      </c>
      <c r="AB337" t="s">
        <v>59</v>
      </c>
      <c r="AC337">
        <v>283</v>
      </c>
      <c r="AD337" t="s">
        <v>46</v>
      </c>
      <c r="AE337" t="s">
        <v>60</v>
      </c>
      <c r="AF337" t="s">
        <v>45</v>
      </c>
      <c r="AG337" t="s">
        <v>46</v>
      </c>
      <c r="AH337" t="s">
        <v>61</v>
      </c>
      <c r="AI337" t="s">
        <v>48</v>
      </c>
      <c r="AJ337" t="s">
        <v>62</v>
      </c>
      <c r="AK337" t="s">
        <v>63</v>
      </c>
      <c r="AL337" t="s">
        <v>376</v>
      </c>
      <c r="AM337" t="s">
        <v>46</v>
      </c>
      <c r="AN337" t="s">
        <v>60</v>
      </c>
      <c r="AO337" t="s">
        <v>62</v>
      </c>
      <c r="AP337" t="s">
        <v>658</v>
      </c>
      <c r="AQ337" t="s">
        <v>66</v>
      </c>
      <c r="AR337" t="s">
        <v>67</v>
      </c>
    </row>
    <row r="338" spans="1:44">
      <c r="A338" s="1">
        <v>45427</v>
      </c>
      <c r="B338" s="2">
        <v>0.2490162037037037</v>
      </c>
      <c r="C338" t="s">
        <v>44</v>
      </c>
      <c r="D338" t="s">
        <v>45</v>
      </c>
      <c r="E338">
        <v>1</v>
      </c>
      <c r="F338" t="s">
        <v>46</v>
      </c>
      <c r="G338" t="s">
        <v>47</v>
      </c>
      <c r="H338" t="s">
        <v>45</v>
      </c>
      <c r="I338">
        <v>0.3105</v>
      </c>
      <c r="J338" t="s">
        <v>46</v>
      </c>
      <c r="K338" t="s">
        <v>48</v>
      </c>
      <c r="L338" t="s">
        <v>49</v>
      </c>
      <c r="M338" t="s">
        <v>50</v>
      </c>
      <c r="N338" t="s">
        <v>51</v>
      </c>
      <c r="O338">
        <v>3.45</v>
      </c>
      <c r="P338">
        <v>8.26</v>
      </c>
      <c r="Q338" t="s">
        <v>46</v>
      </c>
      <c r="R338" t="s">
        <v>52</v>
      </c>
      <c r="S338" t="s">
        <v>53</v>
      </c>
      <c r="T338" t="s">
        <v>46</v>
      </c>
      <c r="U338" t="s">
        <v>54</v>
      </c>
      <c r="V338" t="s">
        <v>55</v>
      </c>
      <c r="W338" t="s">
        <v>430</v>
      </c>
      <c r="X338" t="s">
        <v>206</v>
      </c>
      <c r="Y338">
        <v>1.4</v>
      </c>
      <c r="Z338" t="s">
        <v>46</v>
      </c>
      <c r="AA338" t="s">
        <v>58</v>
      </c>
      <c r="AB338" t="s">
        <v>59</v>
      </c>
      <c r="AC338">
        <v>284</v>
      </c>
      <c r="AD338" t="s">
        <v>46</v>
      </c>
      <c r="AE338" t="s">
        <v>60</v>
      </c>
      <c r="AF338" t="s">
        <v>45</v>
      </c>
      <c r="AG338" t="s">
        <v>46</v>
      </c>
      <c r="AH338" t="s">
        <v>61</v>
      </c>
      <c r="AI338" t="s">
        <v>48</v>
      </c>
      <c r="AJ338" t="s">
        <v>62</v>
      </c>
      <c r="AK338" t="s">
        <v>63</v>
      </c>
      <c r="AL338" t="s">
        <v>376</v>
      </c>
      <c r="AM338" t="s">
        <v>46</v>
      </c>
      <c r="AN338" t="s">
        <v>60</v>
      </c>
      <c r="AO338" t="s">
        <v>62</v>
      </c>
      <c r="AP338" t="s">
        <v>659</v>
      </c>
      <c r="AQ338" t="s">
        <v>66</v>
      </c>
      <c r="AR338" t="s">
        <v>67</v>
      </c>
    </row>
    <row r="339" spans="1:44">
      <c r="A339" s="1">
        <v>45427</v>
      </c>
      <c r="B339" s="2">
        <v>0.24906249999999999</v>
      </c>
      <c r="C339" t="s">
        <v>44</v>
      </c>
      <c r="D339" t="s">
        <v>45</v>
      </c>
      <c r="E339">
        <v>0.78100000000000003</v>
      </c>
      <c r="F339" t="s">
        <v>46</v>
      </c>
      <c r="G339" t="s">
        <v>47</v>
      </c>
      <c r="H339" t="s">
        <v>45</v>
      </c>
      <c r="I339">
        <v>0.31040000000000001</v>
      </c>
      <c r="J339" t="s">
        <v>46</v>
      </c>
      <c r="K339" t="s">
        <v>48</v>
      </c>
      <c r="L339" t="s">
        <v>49</v>
      </c>
      <c r="M339" t="s">
        <v>50</v>
      </c>
      <c r="N339" t="s">
        <v>51</v>
      </c>
      <c r="O339">
        <v>3.45</v>
      </c>
      <c r="P339">
        <v>8.26</v>
      </c>
      <c r="Q339" t="s">
        <v>46</v>
      </c>
      <c r="R339" t="s">
        <v>52</v>
      </c>
      <c r="S339" t="s">
        <v>53</v>
      </c>
      <c r="T339" t="s">
        <v>46</v>
      </c>
      <c r="U339" t="s">
        <v>54</v>
      </c>
      <c r="V339" t="s">
        <v>55</v>
      </c>
      <c r="W339" t="s">
        <v>432</v>
      </c>
      <c r="X339" t="s">
        <v>56</v>
      </c>
      <c r="Y339">
        <v>1.39</v>
      </c>
      <c r="Z339" t="s">
        <v>46</v>
      </c>
      <c r="AA339" t="s">
        <v>58</v>
      </c>
      <c r="AB339" t="s">
        <v>59</v>
      </c>
      <c r="AC339">
        <v>283</v>
      </c>
      <c r="AD339" t="s">
        <v>46</v>
      </c>
      <c r="AE339" t="s">
        <v>60</v>
      </c>
      <c r="AF339" t="s">
        <v>45</v>
      </c>
      <c r="AG339" t="s">
        <v>46</v>
      </c>
      <c r="AH339" t="s">
        <v>61</v>
      </c>
      <c r="AI339" t="s">
        <v>48</v>
      </c>
      <c r="AJ339" t="s">
        <v>62</v>
      </c>
      <c r="AK339" t="s">
        <v>63</v>
      </c>
      <c r="AL339" t="s">
        <v>376</v>
      </c>
      <c r="AM339" t="s">
        <v>46</v>
      </c>
      <c r="AN339" t="s">
        <v>60</v>
      </c>
      <c r="AO339" t="s">
        <v>62</v>
      </c>
      <c r="AP339" t="s">
        <v>660</v>
      </c>
      <c r="AQ339" t="s">
        <v>66</v>
      </c>
      <c r="AR339" t="s">
        <v>67</v>
      </c>
    </row>
    <row r="340" spans="1:44">
      <c r="A340" s="1">
        <v>45427</v>
      </c>
      <c r="B340" s="2">
        <v>0.24910879629629629</v>
      </c>
      <c r="C340" t="s">
        <v>44</v>
      </c>
      <c r="D340" t="s">
        <v>45</v>
      </c>
      <c r="E340">
        <v>0.66700000000000004</v>
      </c>
      <c r="F340" t="s">
        <v>46</v>
      </c>
      <c r="G340" t="s">
        <v>47</v>
      </c>
      <c r="H340" t="s">
        <v>45</v>
      </c>
      <c r="I340">
        <v>0.31040000000000001</v>
      </c>
      <c r="J340" t="s">
        <v>46</v>
      </c>
      <c r="K340" t="s">
        <v>48</v>
      </c>
      <c r="L340" t="s">
        <v>49</v>
      </c>
      <c r="M340" t="s">
        <v>50</v>
      </c>
      <c r="N340" t="s">
        <v>51</v>
      </c>
      <c r="O340">
        <v>3.45</v>
      </c>
      <c r="P340">
        <v>8.26</v>
      </c>
      <c r="Q340" t="s">
        <v>46</v>
      </c>
      <c r="R340" t="s">
        <v>52</v>
      </c>
      <c r="S340" t="s">
        <v>53</v>
      </c>
      <c r="T340" t="s">
        <v>46</v>
      </c>
      <c r="U340" t="s">
        <v>54</v>
      </c>
      <c r="V340" t="s">
        <v>55</v>
      </c>
      <c r="W340" t="s">
        <v>56</v>
      </c>
      <c r="X340" t="s">
        <v>74</v>
      </c>
      <c r="Y340">
        <v>1.39</v>
      </c>
      <c r="Z340" t="s">
        <v>46</v>
      </c>
      <c r="AA340" t="s">
        <v>58</v>
      </c>
      <c r="AB340" t="s">
        <v>59</v>
      </c>
      <c r="AC340">
        <v>283</v>
      </c>
      <c r="AD340" t="s">
        <v>46</v>
      </c>
      <c r="AE340" t="s">
        <v>60</v>
      </c>
      <c r="AF340" t="s">
        <v>45</v>
      </c>
      <c r="AG340" t="s">
        <v>46</v>
      </c>
      <c r="AH340" t="s">
        <v>61</v>
      </c>
      <c r="AI340" t="s">
        <v>48</v>
      </c>
      <c r="AJ340" t="s">
        <v>62</v>
      </c>
      <c r="AK340" t="s">
        <v>63</v>
      </c>
      <c r="AL340" t="s">
        <v>376</v>
      </c>
      <c r="AM340" t="s">
        <v>46</v>
      </c>
      <c r="AN340" t="s">
        <v>60</v>
      </c>
      <c r="AO340" t="s">
        <v>62</v>
      </c>
      <c r="AP340" t="s">
        <v>661</v>
      </c>
      <c r="AQ340" t="s">
        <v>66</v>
      </c>
      <c r="AR340" t="s">
        <v>67</v>
      </c>
    </row>
    <row r="341" spans="1:44">
      <c r="A341" s="1">
        <v>45427</v>
      </c>
      <c r="B341" s="2">
        <v>0.24915509259259258</v>
      </c>
      <c r="C341" t="s">
        <v>44</v>
      </c>
      <c r="D341" t="s">
        <v>45</v>
      </c>
      <c r="E341">
        <v>0.5</v>
      </c>
      <c r="F341" t="s">
        <v>46</v>
      </c>
      <c r="G341" t="s">
        <v>47</v>
      </c>
      <c r="H341" t="s">
        <v>45</v>
      </c>
      <c r="I341">
        <v>0.31030000000000002</v>
      </c>
      <c r="J341" t="s">
        <v>46</v>
      </c>
      <c r="K341" t="s">
        <v>48</v>
      </c>
      <c r="L341" t="s">
        <v>49</v>
      </c>
      <c r="M341" t="s">
        <v>50</v>
      </c>
      <c r="N341" t="s">
        <v>51</v>
      </c>
      <c r="O341">
        <v>3.45</v>
      </c>
      <c r="P341">
        <v>8.26</v>
      </c>
      <c r="Q341" t="s">
        <v>46</v>
      </c>
      <c r="R341" t="s">
        <v>52</v>
      </c>
      <c r="S341" t="s">
        <v>53</v>
      </c>
      <c r="T341" t="s">
        <v>46</v>
      </c>
      <c r="U341" t="s">
        <v>54</v>
      </c>
      <c r="V341" t="s">
        <v>55</v>
      </c>
      <c r="W341" t="s">
        <v>56</v>
      </c>
      <c r="X341" t="s">
        <v>74</v>
      </c>
      <c r="Y341">
        <v>1.39</v>
      </c>
      <c r="Z341" t="s">
        <v>46</v>
      </c>
      <c r="AA341" t="s">
        <v>58</v>
      </c>
      <c r="AB341" t="s">
        <v>59</v>
      </c>
      <c r="AC341">
        <v>283</v>
      </c>
      <c r="AD341" t="s">
        <v>46</v>
      </c>
      <c r="AE341" t="s">
        <v>60</v>
      </c>
      <c r="AF341" t="s">
        <v>45</v>
      </c>
      <c r="AG341" t="s">
        <v>46</v>
      </c>
      <c r="AH341" t="s">
        <v>61</v>
      </c>
      <c r="AI341" t="s">
        <v>48</v>
      </c>
      <c r="AJ341" t="s">
        <v>62</v>
      </c>
      <c r="AK341" t="s">
        <v>63</v>
      </c>
      <c r="AL341" t="s">
        <v>376</v>
      </c>
      <c r="AM341" t="s">
        <v>46</v>
      </c>
      <c r="AN341" t="s">
        <v>60</v>
      </c>
      <c r="AO341" t="s">
        <v>62</v>
      </c>
      <c r="AP341" t="s">
        <v>662</v>
      </c>
      <c r="AQ341" t="s">
        <v>66</v>
      </c>
      <c r="AR341" t="s">
        <v>67</v>
      </c>
    </row>
    <row r="342" spans="1:44">
      <c r="A342" s="1">
        <v>45427</v>
      </c>
      <c r="B342" s="2">
        <v>0.24921296296296297</v>
      </c>
      <c r="C342" t="s">
        <v>44</v>
      </c>
      <c r="D342" t="s">
        <v>45</v>
      </c>
      <c r="E342">
        <v>0.76500000000000001</v>
      </c>
      <c r="F342" t="s">
        <v>46</v>
      </c>
      <c r="G342" t="s">
        <v>47</v>
      </c>
      <c r="H342" t="s">
        <v>45</v>
      </c>
      <c r="I342">
        <v>0.31019999999999998</v>
      </c>
      <c r="J342" t="s">
        <v>46</v>
      </c>
      <c r="K342" t="s">
        <v>48</v>
      </c>
      <c r="L342" t="s">
        <v>49</v>
      </c>
      <c r="M342" t="s">
        <v>50</v>
      </c>
      <c r="N342" t="s">
        <v>51</v>
      </c>
      <c r="O342">
        <v>3.45</v>
      </c>
      <c r="P342">
        <v>8.26</v>
      </c>
      <c r="Q342" t="s">
        <v>46</v>
      </c>
      <c r="R342" t="s">
        <v>52</v>
      </c>
      <c r="S342" t="s">
        <v>53</v>
      </c>
      <c r="T342" t="s">
        <v>46</v>
      </c>
      <c r="U342" t="s">
        <v>54</v>
      </c>
      <c r="V342" t="s">
        <v>55</v>
      </c>
      <c r="W342" t="s">
        <v>192</v>
      </c>
      <c r="X342" t="s">
        <v>74</v>
      </c>
      <c r="Y342">
        <v>1.39</v>
      </c>
      <c r="Z342" t="s">
        <v>46</v>
      </c>
      <c r="AA342" t="s">
        <v>58</v>
      </c>
      <c r="AB342" t="s">
        <v>59</v>
      </c>
      <c r="AC342">
        <v>283</v>
      </c>
      <c r="AD342" t="s">
        <v>46</v>
      </c>
      <c r="AE342" t="s">
        <v>60</v>
      </c>
      <c r="AF342" t="s">
        <v>45</v>
      </c>
      <c r="AG342" t="s">
        <v>46</v>
      </c>
      <c r="AH342" t="s">
        <v>61</v>
      </c>
      <c r="AI342" t="s">
        <v>48</v>
      </c>
      <c r="AJ342" t="s">
        <v>62</v>
      </c>
      <c r="AK342" t="s">
        <v>63</v>
      </c>
      <c r="AL342" t="s">
        <v>376</v>
      </c>
      <c r="AM342" t="s">
        <v>46</v>
      </c>
      <c r="AN342" t="s">
        <v>60</v>
      </c>
      <c r="AO342" t="s">
        <v>62</v>
      </c>
      <c r="AP342" t="s">
        <v>663</v>
      </c>
      <c r="AQ342" t="s">
        <v>66</v>
      </c>
      <c r="AR342" t="s">
        <v>67</v>
      </c>
    </row>
    <row r="343" spans="1:44">
      <c r="A343" s="1">
        <v>45427</v>
      </c>
      <c r="B343" s="2">
        <v>0.24925925925925926</v>
      </c>
      <c r="C343" t="s">
        <v>44</v>
      </c>
      <c r="D343" t="s">
        <v>45</v>
      </c>
      <c r="E343">
        <v>0.71399999999999997</v>
      </c>
      <c r="F343" t="s">
        <v>46</v>
      </c>
      <c r="G343" t="s">
        <v>47</v>
      </c>
      <c r="H343" t="s">
        <v>45</v>
      </c>
      <c r="I343">
        <v>0.3105</v>
      </c>
      <c r="J343" t="s">
        <v>46</v>
      </c>
      <c r="K343" t="s">
        <v>48</v>
      </c>
      <c r="L343" t="s">
        <v>49</v>
      </c>
      <c r="M343" t="s">
        <v>50</v>
      </c>
      <c r="N343" t="s">
        <v>51</v>
      </c>
      <c r="O343">
        <v>3.45</v>
      </c>
      <c r="P343">
        <v>8.26</v>
      </c>
      <c r="Q343" t="s">
        <v>46</v>
      </c>
      <c r="R343" t="s">
        <v>52</v>
      </c>
      <c r="S343" t="s">
        <v>53</v>
      </c>
      <c r="T343" t="s">
        <v>46</v>
      </c>
      <c r="U343" t="s">
        <v>54</v>
      </c>
      <c r="V343" t="s">
        <v>55</v>
      </c>
      <c r="W343" t="s">
        <v>188</v>
      </c>
      <c r="X343" t="s">
        <v>498</v>
      </c>
      <c r="Y343">
        <v>1.39</v>
      </c>
      <c r="Z343" t="s">
        <v>46</v>
      </c>
      <c r="AA343" t="s">
        <v>58</v>
      </c>
      <c r="AB343" t="s">
        <v>59</v>
      </c>
      <c r="AC343">
        <v>284</v>
      </c>
      <c r="AD343" t="s">
        <v>46</v>
      </c>
      <c r="AE343" t="s">
        <v>60</v>
      </c>
      <c r="AF343" t="s">
        <v>45</v>
      </c>
      <c r="AG343" t="s">
        <v>46</v>
      </c>
      <c r="AH343" t="s">
        <v>61</v>
      </c>
      <c r="AI343" t="s">
        <v>48</v>
      </c>
      <c r="AJ343" t="s">
        <v>62</v>
      </c>
      <c r="AK343" t="s">
        <v>63</v>
      </c>
      <c r="AL343" t="s">
        <v>376</v>
      </c>
      <c r="AM343" t="s">
        <v>46</v>
      </c>
      <c r="AN343" t="s">
        <v>60</v>
      </c>
      <c r="AO343" t="s">
        <v>62</v>
      </c>
      <c r="AP343" t="s">
        <v>664</v>
      </c>
      <c r="AQ343" t="s">
        <v>66</v>
      </c>
      <c r="AR343" t="s">
        <v>67</v>
      </c>
    </row>
    <row r="344" spans="1:44">
      <c r="A344" s="1">
        <v>45427</v>
      </c>
      <c r="B344" s="2">
        <v>0.24930555555555556</v>
      </c>
      <c r="C344" t="s">
        <v>44</v>
      </c>
      <c r="D344" t="s">
        <v>45</v>
      </c>
      <c r="E344">
        <v>0.93799999999999994</v>
      </c>
      <c r="F344" t="s">
        <v>46</v>
      </c>
      <c r="G344" t="s">
        <v>47</v>
      </c>
      <c r="H344" t="s">
        <v>45</v>
      </c>
      <c r="I344">
        <v>0.31069999999999998</v>
      </c>
      <c r="J344" t="s">
        <v>46</v>
      </c>
      <c r="K344" t="s">
        <v>48</v>
      </c>
      <c r="L344" t="s">
        <v>49</v>
      </c>
      <c r="M344" t="s">
        <v>50</v>
      </c>
      <c r="N344" t="s">
        <v>51</v>
      </c>
      <c r="O344">
        <v>3.45</v>
      </c>
      <c r="P344">
        <v>8.26</v>
      </c>
      <c r="Q344" t="s">
        <v>46</v>
      </c>
      <c r="R344" t="s">
        <v>52</v>
      </c>
      <c r="S344" t="s">
        <v>53</v>
      </c>
      <c r="T344" t="s">
        <v>46</v>
      </c>
      <c r="U344" t="s">
        <v>54</v>
      </c>
      <c r="V344" t="s">
        <v>55</v>
      </c>
      <c r="W344" t="s">
        <v>292</v>
      </c>
      <c r="X344" t="s">
        <v>213</v>
      </c>
      <c r="Y344">
        <v>1.38</v>
      </c>
      <c r="Z344" t="s">
        <v>46</v>
      </c>
      <c r="AA344" t="s">
        <v>58</v>
      </c>
      <c r="AB344" t="s">
        <v>59</v>
      </c>
      <c r="AC344">
        <v>284</v>
      </c>
      <c r="AD344" t="s">
        <v>46</v>
      </c>
      <c r="AE344" t="s">
        <v>60</v>
      </c>
      <c r="AF344" t="s">
        <v>45</v>
      </c>
      <c r="AG344" t="s">
        <v>46</v>
      </c>
      <c r="AH344" t="s">
        <v>61</v>
      </c>
      <c r="AI344" t="s">
        <v>48</v>
      </c>
      <c r="AJ344" t="s">
        <v>62</v>
      </c>
      <c r="AK344" t="s">
        <v>63</v>
      </c>
      <c r="AL344" t="s">
        <v>376</v>
      </c>
      <c r="AM344" t="s">
        <v>46</v>
      </c>
      <c r="AN344" t="s">
        <v>60</v>
      </c>
      <c r="AO344" t="s">
        <v>62</v>
      </c>
      <c r="AP344" t="s">
        <v>665</v>
      </c>
      <c r="AQ344" t="s">
        <v>66</v>
      </c>
      <c r="AR344" t="s">
        <v>67</v>
      </c>
    </row>
    <row r="345" spans="1:44">
      <c r="A345" s="1">
        <v>45427</v>
      </c>
      <c r="B345" s="2">
        <v>0.24935185185185185</v>
      </c>
      <c r="C345" t="s">
        <v>44</v>
      </c>
      <c r="D345" t="s">
        <v>45</v>
      </c>
      <c r="E345">
        <v>0.75800000000000001</v>
      </c>
      <c r="F345" t="s">
        <v>46</v>
      </c>
      <c r="G345" t="s">
        <v>47</v>
      </c>
      <c r="H345" t="s">
        <v>45</v>
      </c>
      <c r="I345">
        <v>0.3105</v>
      </c>
      <c r="J345" t="s">
        <v>46</v>
      </c>
      <c r="K345" t="s">
        <v>48</v>
      </c>
      <c r="L345" t="s">
        <v>49</v>
      </c>
      <c r="M345" t="s">
        <v>50</v>
      </c>
      <c r="N345" t="s">
        <v>51</v>
      </c>
      <c r="O345">
        <v>3.45</v>
      </c>
      <c r="P345">
        <v>8.26</v>
      </c>
      <c r="Q345" t="s">
        <v>46</v>
      </c>
      <c r="R345" t="s">
        <v>52</v>
      </c>
      <c r="S345" t="s">
        <v>53</v>
      </c>
      <c r="T345" t="s">
        <v>46</v>
      </c>
      <c r="U345" t="s">
        <v>54</v>
      </c>
      <c r="V345" t="s">
        <v>55</v>
      </c>
      <c r="W345" t="s">
        <v>82</v>
      </c>
      <c r="X345" t="s">
        <v>192</v>
      </c>
      <c r="Y345">
        <v>1.38</v>
      </c>
      <c r="Z345" t="s">
        <v>46</v>
      </c>
      <c r="AA345" t="s">
        <v>58</v>
      </c>
      <c r="AB345" t="s">
        <v>59</v>
      </c>
      <c r="AC345">
        <v>283</v>
      </c>
      <c r="AD345" t="s">
        <v>46</v>
      </c>
      <c r="AE345" t="s">
        <v>60</v>
      </c>
      <c r="AF345" t="s">
        <v>45</v>
      </c>
      <c r="AG345" t="s">
        <v>46</v>
      </c>
      <c r="AH345" t="s">
        <v>61</v>
      </c>
      <c r="AI345" t="s">
        <v>48</v>
      </c>
      <c r="AJ345" t="s">
        <v>62</v>
      </c>
      <c r="AK345" t="s">
        <v>63</v>
      </c>
      <c r="AL345" t="s">
        <v>376</v>
      </c>
      <c r="AM345" t="s">
        <v>46</v>
      </c>
      <c r="AN345" t="s">
        <v>60</v>
      </c>
      <c r="AO345" t="s">
        <v>62</v>
      </c>
      <c r="AP345" t="s">
        <v>666</v>
      </c>
      <c r="AQ345" t="s">
        <v>66</v>
      </c>
      <c r="AR345" t="s">
        <v>67</v>
      </c>
    </row>
    <row r="346" spans="1:44">
      <c r="A346" s="1">
        <v>45427</v>
      </c>
      <c r="B346" s="2">
        <v>0.24940972222222221</v>
      </c>
      <c r="C346" t="s">
        <v>44</v>
      </c>
      <c r="D346" t="s">
        <v>45</v>
      </c>
      <c r="E346">
        <v>0.5</v>
      </c>
      <c r="F346" t="s">
        <v>46</v>
      </c>
      <c r="G346" t="s">
        <v>47</v>
      </c>
      <c r="H346" t="s">
        <v>45</v>
      </c>
      <c r="I346">
        <v>0.31069999999999998</v>
      </c>
      <c r="J346" t="s">
        <v>46</v>
      </c>
      <c r="K346" t="s">
        <v>48</v>
      </c>
      <c r="L346" t="s">
        <v>49</v>
      </c>
      <c r="M346" t="s">
        <v>50</v>
      </c>
      <c r="N346" t="s">
        <v>51</v>
      </c>
      <c r="O346">
        <v>3.45</v>
      </c>
      <c r="P346">
        <v>8.26</v>
      </c>
      <c r="Q346" t="s">
        <v>46</v>
      </c>
      <c r="R346" t="s">
        <v>52</v>
      </c>
      <c r="S346" t="s">
        <v>53</v>
      </c>
      <c r="T346" t="s">
        <v>46</v>
      </c>
      <c r="U346" t="s">
        <v>54</v>
      </c>
      <c r="V346" t="s">
        <v>55</v>
      </c>
      <c r="W346" t="s">
        <v>360</v>
      </c>
      <c r="X346" t="s">
        <v>192</v>
      </c>
      <c r="Y346">
        <v>1.38</v>
      </c>
      <c r="Z346" t="s">
        <v>46</v>
      </c>
      <c r="AA346" t="s">
        <v>58</v>
      </c>
      <c r="AB346" t="s">
        <v>59</v>
      </c>
      <c r="AC346">
        <v>283</v>
      </c>
      <c r="AD346" t="s">
        <v>46</v>
      </c>
      <c r="AE346" t="s">
        <v>60</v>
      </c>
      <c r="AF346" t="s">
        <v>45</v>
      </c>
      <c r="AG346" t="s">
        <v>46</v>
      </c>
      <c r="AH346" t="s">
        <v>61</v>
      </c>
      <c r="AI346" t="s">
        <v>48</v>
      </c>
      <c r="AJ346" t="s">
        <v>62</v>
      </c>
      <c r="AK346" t="s">
        <v>63</v>
      </c>
      <c r="AL346" t="s">
        <v>376</v>
      </c>
      <c r="AM346" t="s">
        <v>46</v>
      </c>
      <c r="AN346" t="s">
        <v>60</v>
      </c>
      <c r="AO346" t="s">
        <v>62</v>
      </c>
      <c r="AP346" t="s">
        <v>667</v>
      </c>
      <c r="AQ346" t="s">
        <v>66</v>
      </c>
      <c r="AR346" t="s">
        <v>67</v>
      </c>
    </row>
    <row r="347" spans="1:44">
      <c r="A347" s="1">
        <v>45427</v>
      </c>
      <c r="B347" s="2">
        <v>0.24945601851851851</v>
      </c>
      <c r="C347" t="s">
        <v>44</v>
      </c>
      <c r="D347" t="s">
        <v>45</v>
      </c>
      <c r="E347">
        <v>0.51400000000000001</v>
      </c>
      <c r="F347" t="s">
        <v>46</v>
      </c>
      <c r="G347" t="s">
        <v>47</v>
      </c>
      <c r="H347" t="s">
        <v>45</v>
      </c>
      <c r="I347">
        <v>0.31069999999999998</v>
      </c>
      <c r="J347" t="s">
        <v>46</v>
      </c>
      <c r="K347" t="s">
        <v>48</v>
      </c>
      <c r="L347" t="s">
        <v>49</v>
      </c>
      <c r="M347" t="s">
        <v>50</v>
      </c>
      <c r="N347" t="s">
        <v>51</v>
      </c>
      <c r="O347">
        <v>3.45</v>
      </c>
      <c r="P347">
        <v>8.26</v>
      </c>
      <c r="Q347" t="s">
        <v>46</v>
      </c>
      <c r="R347" t="s">
        <v>52</v>
      </c>
      <c r="S347" t="s">
        <v>53</v>
      </c>
      <c r="T347" t="s">
        <v>46</v>
      </c>
      <c r="U347" t="s">
        <v>54</v>
      </c>
      <c r="V347" t="s">
        <v>55</v>
      </c>
      <c r="W347" t="s">
        <v>112</v>
      </c>
      <c r="X347" t="s">
        <v>460</v>
      </c>
      <c r="Y347">
        <v>1.38</v>
      </c>
      <c r="Z347" t="s">
        <v>46</v>
      </c>
      <c r="AA347" t="s">
        <v>58</v>
      </c>
      <c r="AB347" t="s">
        <v>59</v>
      </c>
      <c r="AC347">
        <v>283</v>
      </c>
      <c r="AD347" t="s">
        <v>46</v>
      </c>
      <c r="AE347" t="s">
        <v>60</v>
      </c>
      <c r="AF347" t="s">
        <v>45</v>
      </c>
      <c r="AG347" t="s">
        <v>46</v>
      </c>
      <c r="AH347" t="s">
        <v>61</v>
      </c>
      <c r="AI347" t="s">
        <v>48</v>
      </c>
      <c r="AJ347" t="s">
        <v>62</v>
      </c>
      <c r="AK347" t="s">
        <v>63</v>
      </c>
      <c r="AL347" t="s">
        <v>376</v>
      </c>
      <c r="AM347" t="s">
        <v>46</v>
      </c>
      <c r="AN347" t="s">
        <v>60</v>
      </c>
      <c r="AO347" t="s">
        <v>62</v>
      </c>
      <c r="AP347" t="s">
        <v>668</v>
      </c>
      <c r="AQ347" t="s">
        <v>66</v>
      </c>
      <c r="AR347" t="s">
        <v>67</v>
      </c>
    </row>
    <row r="348" spans="1:44">
      <c r="A348" s="1">
        <v>45427</v>
      </c>
      <c r="B348" s="2">
        <v>0.2495023148148148</v>
      </c>
      <c r="C348" t="s">
        <v>44</v>
      </c>
      <c r="D348" t="s">
        <v>45</v>
      </c>
      <c r="E348">
        <v>0.8</v>
      </c>
      <c r="F348" t="s">
        <v>46</v>
      </c>
      <c r="G348" t="s">
        <v>47</v>
      </c>
      <c r="H348" t="s">
        <v>45</v>
      </c>
      <c r="I348">
        <v>0.31059999999999999</v>
      </c>
      <c r="J348" t="s">
        <v>46</v>
      </c>
      <c r="K348" t="s">
        <v>48</v>
      </c>
      <c r="L348" t="s">
        <v>49</v>
      </c>
      <c r="M348" t="s">
        <v>50</v>
      </c>
      <c r="N348" t="s">
        <v>51</v>
      </c>
      <c r="O348">
        <v>3.45</v>
      </c>
      <c r="P348">
        <v>8.26</v>
      </c>
      <c r="Q348" t="s">
        <v>46</v>
      </c>
      <c r="R348" t="s">
        <v>52</v>
      </c>
      <c r="S348" t="s">
        <v>53</v>
      </c>
      <c r="T348" t="s">
        <v>46</v>
      </c>
      <c r="U348" t="s">
        <v>54</v>
      </c>
      <c r="V348" t="s">
        <v>55</v>
      </c>
      <c r="W348" t="s">
        <v>112</v>
      </c>
      <c r="X348" t="s">
        <v>460</v>
      </c>
      <c r="Y348">
        <v>1.38</v>
      </c>
      <c r="Z348" t="s">
        <v>46</v>
      </c>
      <c r="AA348" t="s">
        <v>58</v>
      </c>
      <c r="AB348" t="s">
        <v>59</v>
      </c>
      <c r="AC348">
        <v>283</v>
      </c>
      <c r="AD348" t="s">
        <v>46</v>
      </c>
      <c r="AE348" t="s">
        <v>60</v>
      </c>
      <c r="AF348" t="s">
        <v>45</v>
      </c>
      <c r="AG348" t="s">
        <v>46</v>
      </c>
      <c r="AH348" t="s">
        <v>61</v>
      </c>
      <c r="AI348" t="s">
        <v>48</v>
      </c>
      <c r="AJ348" t="s">
        <v>62</v>
      </c>
      <c r="AK348" t="s">
        <v>63</v>
      </c>
      <c r="AL348" t="s">
        <v>376</v>
      </c>
      <c r="AM348" t="s">
        <v>46</v>
      </c>
      <c r="AN348" t="s">
        <v>60</v>
      </c>
      <c r="AO348" t="s">
        <v>62</v>
      </c>
      <c r="AP348" t="s">
        <v>669</v>
      </c>
      <c r="AQ348" t="s">
        <v>66</v>
      </c>
      <c r="AR348" t="s">
        <v>67</v>
      </c>
    </row>
    <row r="349" spans="1:44">
      <c r="A349" s="1">
        <v>45427</v>
      </c>
      <c r="B349" s="2">
        <v>0.24954861111111112</v>
      </c>
      <c r="C349" t="s">
        <v>44</v>
      </c>
      <c r="D349" t="s">
        <v>45</v>
      </c>
      <c r="E349">
        <v>0.5</v>
      </c>
      <c r="F349" t="s">
        <v>46</v>
      </c>
      <c r="G349" t="s">
        <v>47</v>
      </c>
      <c r="H349" t="s">
        <v>45</v>
      </c>
      <c r="I349">
        <v>0.3105</v>
      </c>
      <c r="J349" t="s">
        <v>46</v>
      </c>
      <c r="K349" t="s">
        <v>48</v>
      </c>
      <c r="L349" t="s">
        <v>49</v>
      </c>
      <c r="M349" t="s">
        <v>50</v>
      </c>
      <c r="N349" t="s">
        <v>51</v>
      </c>
      <c r="O349">
        <v>3.45</v>
      </c>
      <c r="P349">
        <v>8.26</v>
      </c>
      <c r="Q349" t="s">
        <v>46</v>
      </c>
      <c r="R349" t="s">
        <v>52</v>
      </c>
      <c r="S349" t="s">
        <v>53</v>
      </c>
      <c r="T349" t="s">
        <v>46</v>
      </c>
      <c r="U349" t="s">
        <v>54</v>
      </c>
      <c r="V349" t="s">
        <v>55</v>
      </c>
      <c r="W349" t="s">
        <v>68</v>
      </c>
      <c r="X349" t="s">
        <v>192</v>
      </c>
      <c r="Y349">
        <v>1.38</v>
      </c>
      <c r="Z349" t="s">
        <v>46</v>
      </c>
      <c r="AA349" t="s">
        <v>58</v>
      </c>
      <c r="AB349" t="s">
        <v>59</v>
      </c>
      <c r="AC349">
        <v>283</v>
      </c>
      <c r="AD349" t="s">
        <v>46</v>
      </c>
      <c r="AE349" t="s">
        <v>60</v>
      </c>
      <c r="AF349" t="s">
        <v>45</v>
      </c>
      <c r="AG349" t="s">
        <v>46</v>
      </c>
      <c r="AH349" t="s">
        <v>61</v>
      </c>
      <c r="AI349" t="s">
        <v>48</v>
      </c>
      <c r="AJ349" t="s">
        <v>62</v>
      </c>
      <c r="AK349" t="s">
        <v>63</v>
      </c>
      <c r="AL349" t="s">
        <v>376</v>
      </c>
      <c r="AM349" t="s">
        <v>46</v>
      </c>
      <c r="AN349" t="s">
        <v>60</v>
      </c>
      <c r="AO349" t="s">
        <v>62</v>
      </c>
      <c r="AP349" t="s">
        <v>670</v>
      </c>
      <c r="AQ349" t="s">
        <v>66</v>
      </c>
      <c r="AR349" t="s">
        <v>67</v>
      </c>
    </row>
    <row r="350" spans="1:44">
      <c r="A350" s="1">
        <v>45427</v>
      </c>
      <c r="B350" s="2">
        <v>0.24960648148148148</v>
      </c>
      <c r="C350" t="s">
        <v>44</v>
      </c>
      <c r="D350" t="s">
        <v>45</v>
      </c>
      <c r="E350">
        <v>0.57599999999999996</v>
      </c>
      <c r="F350" t="s">
        <v>46</v>
      </c>
      <c r="G350" t="s">
        <v>47</v>
      </c>
      <c r="H350" t="s">
        <v>45</v>
      </c>
      <c r="I350">
        <v>0.31059999999999999</v>
      </c>
      <c r="J350" t="s">
        <v>46</v>
      </c>
      <c r="K350" t="s">
        <v>48</v>
      </c>
      <c r="L350" t="s">
        <v>49</v>
      </c>
      <c r="M350" t="s">
        <v>50</v>
      </c>
      <c r="N350" t="s">
        <v>51</v>
      </c>
      <c r="O350">
        <v>3.45</v>
      </c>
      <c r="P350">
        <v>8.26</v>
      </c>
      <c r="Q350" t="s">
        <v>46</v>
      </c>
      <c r="R350" t="s">
        <v>52</v>
      </c>
      <c r="S350" t="s">
        <v>53</v>
      </c>
      <c r="T350" t="s">
        <v>46</v>
      </c>
      <c r="U350" t="s">
        <v>54</v>
      </c>
      <c r="V350" t="s">
        <v>55</v>
      </c>
      <c r="W350" t="s">
        <v>85</v>
      </c>
      <c r="X350" t="s">
        <v>71</v>
      </c>
      <c r="Y350">
        <v>1.37</v>
      </c>
      <c r="Z350" t="s">
        <v>46</v>
      </c>
      <c r="AA350" t="s">
        <v>58</v>
      </c>
      <c r="AB350" t="s">
        <v>59</v>
      </c>
      <c r="AC350">
        <v>283</v>
      </c>
      <c r="AD350" t="s">
        <v>46</v>
      </c>
      <c r="AE350" t="s">
        <v>60</v>
      </c>
      <c r="AF350" t="s">
        <v>45</v>
      </c>
      <c r="AG350" t="s">
        <v>46</v>
      </c>
      <c r="AH350" t="s">
        <v>61</v>
      </c>
      <c r="AI350" t="s">
        <v>48</v>
      </c>
      <c r="AJ350" t="s">
        <v>62</v>
      </c>
      <c r="AK350" t="s">
        <v>63</v>
      </c>
      <c r="AL350" t="s">
        <v>376</v>
      </c>
      <c r="AM350" t="s">
        <v>46</v>
      </c>
      <c r="AN350" t="s">
        <v>60</v>
      </c>
      <c r="AO350" t="s">
        <v>62</v>
      </c>
      <c r="AP350" t="s">
        <v>671</v>
      </c>
      <c r="AQ350" t="s">
        <v>66</v>
      </c>
      <c r="AR350" t="s">
        <v>67</v>
      </c>
    </row>
    <row r="351" spans="1:44">
      <c r="A351" s="1">
        <v>45427</v>
      </c>
      <c r="B351" s="2">
        <v>0.24965277777777778</v>
      </c>
      <c r="C351" t="s">
        <v>44</v>
      </c>
      <c r="D351" t="s">
        <v>45</v>
      </c>
      <c r="E351">
        <v>0.76500000000000001</v>
      </c>
      <c r="F351" t="s">
        <v>46</v>
      </c>
      <c r="G351" t="s">
        <v>47</v>
      </c>
      <c r="H351" t="s">
        <v>45</v>
      </c>
      <c r="I351">
        <v>0.31059999999999999</v>
      </c>
      <c r="J351" t="s">
        <v>46</v>
      </c>
      <c r="K351" t="s">
        <v>48</v>
      </c>
      <c r="L351" t="s">
        <v>49</v>
      </c>
      <c r="M351" t="s">
        <v>50</v>
      </c>
      <c r="N351" t="s">
        <v>51</v>
      </c>
      <c r="O351">
        <v>3.45</v>
      </c>
      <c r="P351">
        <v>8.26</v>
      </c>
      <c r="Q351" t="s">
        <v>46</v>
      </c>
      <c r="R351" t="s">
        <v>52</v>
      </c>
      <c r="S351" t="s">
        <v>53</v>
      </c>
      <c r="T351" t="s">
        <v>46</v>
      </c>
      <c r="U351" t="s">
        <v>54</v>
      </c>
      <c r="V351" t="s">
        <v>55</v>
      </c>
      <c r="W351" t="s">
        <v>88</v>
      </c>
      <c r="X351" t="s">
        <v>188</v>
      </c>
      <c r="Y351">
        <v>1.37</v>
      </c>
      <c r="Z351" t="s">
        <v>46</v>
      </c>
      <c r="AA351" t="s">
        <v>58</v>
      </c>
      <c r="AB351" t="s">
        <v>59</v>
      </c>
      <c r="AC351">
        <v>283</v>
      </c>
      <c r="AD351" t="s">
        <v>46</v>
      </c>
      <c r="AE351" t="s">
        <v>60</v>
      </c>
      <c r="AF351" t="s">
        <v>45</v>
      </c>
      <c r="AG351" t="s">
        <v>46</v>
      </c>
      <c r="AH351" t="s">
        <v>61</v>
      </c>
      <c r="AI351" t="s">
        <v>48</v>
      </c>
      <c r="AJ351" t="s">
        <v>62</v>
      </c>
      <c r="AK351" t="s">
        <v>63</v>
      </c>
      <c r="AL351" t="s">
        <v>376</v>
      </c>
      <c r="AM351" t="s">
        <v>46</v>
      </c>
      <c r="AN351" t="s">
        <v>60</v>
      </c>
      <c r="AO351" t="s">
        <v>62</v>
      </c>
      <c r="AP351" t="s">
        <v>672</v>
      </c>
      <c r="AQ351" t="s">
        <v>66</v>
      </c>
      <c r="AR351" t="s">
        <v>67</v>
      </c>
    </row>
    <row r="352" spans="1:44">
      <c r="A352" s="1">
        <v>45427</v>
      </c>
      <c r="B352" s="2">
        <v>0.24969907407407407</v>
      </c>
      <c r="C352" t="s">
        <v>44</v>
      </c>
      <c r="D352" t="s">
        <v>45</v>
      </c>
      <c r="E352">
        <v>0.76500000000000001</v>
      </c>
      <c r="F352" t="s">
        <v>46</v>
      </c>
      <c r="G352" t="s">
        <v>47</v>
      </c>
      <c r="H352" t="s">
        <v>45</v>
      </c>
      <c r="I352">
        <v>0.31069999999999998</v>
      </c>
      <c r="J352" t="s">
        <v>46</v>
      </c>
      <c r="K352" t="s">
        <v>48</v>
      </c>
      <c r="L352" t="s">
        <v>49</v>
      </c>
      <c r="M352" t="s">
        <v>50</v>
      </c>
      <c r="N352" t="s">
        <v>51</v>
      </c>
      <c r="O352">
        <v>3.45</v>
      </c>
      <c r="P352">
        <v>8.26</v>
      </c>
      <c r="Q352" t="s">
        <v>46</v>
      </c>
      <c r="R352" t="s">
        <v>52</v>
      </c>
      <c r="S352" t="s">
        <v>53</v>
      </c>
      <c r="T352" t="s">
        <v>46</v>
      </c>
      <c r="U352" t="s">
        <v>54</v>
      </c>
      <c r="V352" t="s">
        <v>55</v>
      </c>
      <c r="W352" t="s">
        <v>198</v>
      </c>
      <c r="X352" t="s">
        <v>333</v>
      </c>
      <c r="Y352">
        <v>1.37</v>
      </c>
      <c r="Z352" t="s">
        <v>46</v>
      </c>
      <c r="AA352" t="s">
        <v>58</v>
      </c>
      <c r="AB352" t="s">
        <v>59</v>
      </c>
      <c r="AC352">
        <v>283</v>
      </c>
      <c r="AD352" t="s">
        <v>46</v>
      </c>
      <c r="AE352" t="s">
        <v>60</v>
      </c>
      <c r="AF352" t="s">
        <v>45</v>
      </c>
      <c r="AG352" t="s">
        <v>46</v>
      </c>
      <c r="AH352" t="s">
        <v>61</v>
      </c>
      <c r="AI352" t="s">
        <v>48</v>
      </c>
      <c r="AJ352" t="s">
        <v>62</v>
      </c>
      <c r="AK352" t="s">
        <v>63</v>
      </c>
      <c r="AL352" t="s">
        <v>376</v>
      </c>
      <c r="AM352" t="s">
        <v>46</v>
      </c>
      <c r="AN352" t="s">
        <v>60</v>
      </c>
      <c r="AO352" t="s">
        <v>62</v>
      </c>
      <c r="AP352" t="s">
        <v>673</v>
      </c>
      <c r="AQ352" t="s">
        <v>66</v>
      </c>
      <c r="AR352" t="s">
        <v>67</v>
      </c>
    </row>
    <row r="353" spans="1:44">
      <c r="A353" s="1">
        <v>45427</v>
      </c>
      <c r="B353" s="2">
        <v>0.24974537037037037</v>
      </c>
      <c r="C353" t="s">
        <v>44</v>
      </c>
      <c r="D353" t="s">
        <v>45</v>
      </c>
      <c r="E353">
        <v>0.52900000000000003</v>
      </c>
      <c r="F353" t="s">
        <v>46</v>
      </c>
      <c r="G353" t="s">
        <v>47</v>
      </c>
      <c r="H353" t="s">
        <v>45</v>
      </c>
      <c r="I353">
        <v>0.31069999999999998</v>
      </c>
      <c r="J353" t="s">
        <v>46</v>
      </c>
      <c r="K353" t="s">
        <v>48</v>
      </c>
      <c r="L353" t="s">
        <v>49</v>
      </c>
      <c r="M353" t="s">
        <v>50</v>
      </c>
      <c r="N353" t="s">
        <v>51</v>
      </c>
      <c r="O353">
        <v>3.45</v>
      </c>
      <c r="P353">
        <v>8.26</v>
      </c>
      <c r="Q353" t="s">
        <v>46</v>
      </c>
      <c r="R353" t="s">
        <v>52</v>
      </c>
      <c r="S353" t="s">
        <v>53</v>
      </c>
      <c r="T353" t="s">
        <v>46</v>
      </c>
      <c r="U353" t="s">
        <v>54</v>
      </c>
      <c r="V353" t="s">
        <v>55</v>
      </c>
      <c r="W353" t="s">
        <v>114</v>
      </c>
      <c r="X353" t="s">
        <v>333</v>
      </c>
      <c r="Y353">
        <v>1.37</v>
      </c>
      <c r="Z353" t="s">
        <v>46</v>
      </c>
      <c r="AA353" t="s">
        <v>58</v>
      </c>
      <c r="AB353" t="s">
        <v>59</v>
      </c>
      <c r="AC353">
        <v>283</v>
      </c>
      <c r="AD353" t="s">
        <v>46</v>
      </c>
      <c r="AE353" t="s">
        <v>60</v>
      </c>
      <c r="AF353" t="s">
        <v>45</v>
      </c>
      <c r="AG353" t="s">
        <v>46</v>
      </c>
      <c r="AH353" t="s">
        <v>61</v>
      </c>
      <c r="AI353" t="s">
        <v>48</v>
      </c>
      <c r="AJ353" t="s">
        <v>62</v>
      </c>
      <c r="AK353" t="s">
        <v>63</v>
      </c>
      <c r="AL353" t="s">
        <v>376</v>
      </c>
      <c r="AM353" t="s">
        <v>46</v>
      </c>
      <c r="AN353" t="s">
        <v>60</v>
      </c>
      <c r="AO353" t="s">
        <v>62</v>
      </c>
      <c r="AP353" t="s">
        <v>674</v>
      </c>
      <c r="AQ353" t="s">
        <v>66</v>
      </c>
      <c r="AR353" t="s">
        <v>67</v>
      </c>
    </row>
    <row r="354" spans="1:44">
      <c r="A354" s="1">
        <v>45427</v>
      </c>
      <c r="B354" s="2">
        <v>0.24980324074074073</v>
      </c>
      <c r="C354" t="s">
        <v>44</v>
      </c>
      <c r="D354" t="s">
        <v>45</v>
      </c>
      <c r="E354">
        <v>0.70599999999999996</v>
      </c>
      <c r="F354" t="s">
        <v>46</v>
      </c>
      <c r="G354" t="s">
        <v>47</v>
      </c>
      <c r="H354" t="s">
        <v>45</v>
      </c>
      <c r="I354">
        <v>0.31069999999999998</v>
      </c>
      <c r="J354" t="s">
        <v>46</v>
      </c>
      <c r="K354" t="s">
        <v>48</v>
      </c>
      <c r="L354" t="s">
        <v>49</v>
      </c>
      <c r="M354" t="s">
        <v>50</v>
      </c>
      <c r="N354" t="s">
        <v>51</v>
      </c>
      <c r="O354">
        <v>3.45</v>
      </c>
      <c r="P354">
        <v>8.26</v>
      </c>
      <c r="Q354" t="s">
        <v>46</v>
      </c>
      <c r="R354" t="s">
        <v>52</v>
      </c>
      <c r="S354" t="s">
        <v>53</v>
      </c>
      <c r="T354" t="s">
        <v>46</v>
      </c>
      <c r="U354" t="s">
        <v>54</v>
      </c>
      <c r="V354" t="s">
        <v>55</v>
      </c>
      <c r="W354" t="s">
        <v>114</v>
      </c>
      <c r="X354" t="s">
        <v>333</v>
      </c>
      <c r="Y354">
        <v>1.37</v>
      </c>
      <c r="Z354" t="s">
        <v>46</v>
      </c>
      <c r="AA354" t="s">
        <v>58</v>
      </c>
      <c r="AB354" t="s">
        <v>59</v>
      </c>
      <c r="AC354">
        <v>283</v>
      </c>
      <c r="AD354" t="s">
        <v>46</v>
      </c>
      <c r="AE354" t="s">
        <v>60</v>
      </c>
      <c r="AF354" t="s">
        <v>45</v>
      </c>
      <c r="AG354" t="s">
        <v>46</v>
      </c>
      <c r="AH354" t="s">
        <v>61</v>
      </c>
      <c r="AI354" t="s">
        <v>48</v>
      </c>
      <c r="AJ354" t="s">
        <v>62</v>
      </c>
      <c r="AK354" t="s">
        <v>63</v>
      </c>
      <c r="AL354" t="s">
        <v>376</v>
      </c>
      <c r="AM354" t="s">
        <v>46</v>
      </c>
      <c r="AN354" t="s">
        <v>60</v>
      </c>
      <c r="AO354" t="s">
        <v>62</v>
      </c>
      <c r="AP354" t="s">
        <v>675</v>
      </c>
      <c r="AQ354" t="s">
        <v>66</v>
      </c>
      <c r="AR354" t="s">
        <v>67</v>
      </c>
    </row>
    <row r="355" spans="1:44">
      <c r="A355" s="1">
        <v>45427</v>
      </c>
      <c r="B355" s="2">
        <v>0.24984953703703705</v>
      </c>
      <c r="C355" t="s">
        <v>44</v>
      </c>
      <c r="D355" t="s">
        <v>45</v>
      </c>
      <c r="E355">
        <v>0.52900000000000003</v>
      </c>
      <c r="F355" t="s">
        <v>46</v>
      </c>
      <c r="G355" t="s">
        <v>47</v>
      </c>
      <c r="H355" t="s">
        <v>45</v>
      </c>
      <c r="I355">
        <v>0.31059999999999999</v>
      </c>
      <c r="J355" t="s">
        <v>46</v>
      </c>
      <c r="K355" t="s">
        <v>48</v>
      </c>
      <c r="L355" t="s">
        <v>49</v>
      </c>
      <c r="M355" t="s">
        <v>50</v>
      </c>
      <c r="N355" t="s">
        <v>51</v>
      </c>
      <c r="O355">
        <v>3.45</v>
      </c>
      <c r="P355">
        <v>8.26</v>
      </c>
      <c r="Q355" t="s">
        <v>46</v>
      </c>
      <c r="R355" t="s">
        <v>52</v>
      </c>
      <c r="S355" t="s">
        <v>53</v>
      </c>
      <c r="T355" t="s">
        <v>46</v>
      </c>
      <c r="U355" t="s">
        <v>54</v>
      </c>
      <c r="V355" t="s">
        <v>55</v>
      </c>
      <c r="W355" t="s">
        <v>300</v>
      </c>
      <c r="X355" t="s">
        <v>188</v>
      </c>
      <c r="Y355">
        <v>1.37</v>
      </c>
      <c r="Z355" t="s">
        <v>46</v>
      </c>
      <c r="AA355" t="s">
        <v>58</v>
      </c>
      <c r="AB355" t="s">
        <v>59</v>
      </c>
      <c r="AC355">
        <v>283</v>
      </c>
      <c r="AD355" t="s">
        <v>46</v>
      </c>
      <c r="AE355" t="s">
        <v>60</v>
      </c>
      <c r="AF355" t="s">
        <v>45</v>
      </c>
      <c r="AG355" t="s">
        <v>46</v>
      </c>
      <c r="AH355" t="s">
        <v>61</v>
      </c>
      <c r="AI355" t="s">
        <v>48</v>
      </c>
      <c r="AJ355" t="s">
        <v>62</v>
      </c>
      <c r="AK355" t="s">
        <v>63</v>
      </c>
      <c r="AL355" t="s">
        <v>376</v>
      </c>
      <c r="AM355" t="s">
        <v>46</v>
      </c>
      <c r="AN355" t="s">
        <v>60</v>
      </c>
      <c r="AO355" t="s">
        <v>62</v>
      </c>
      <c r="AP355" t="s">
        <v>676</v>
      </c>
      <c r="AQ355" t="s">
        <v>66</v>
      </c>
      <c r="AR355" t="s">
        <v>67</v>
      </c>
    </row>
    <row r="356" spans="1:44">
      <c r="A356" s="1">
        <v>45427</v>
      </c>
      <c r="B356" s="2">
        <v>0.24989583333333334</v>
      </c>
      <c r="C356" t="s">
        <v>44</v>
      </c>
      <c r="D356" t="s">
        <v>45</v>
      </c>
      <c r="E356">
        <v>0.48499999999999999</v>
      </c>
      <c r="F356" t="s">
        <v>46</v>
      </c>
      <c r="G356" t="s">
        <v>47</v>
      </c>
      <c r="H356" t="s">
        <v>45</v>
      </c>
      <c r="I356">
        <v>0.31059999999999999</v>
      </c>
      <c r="J356" t="s">
        <v>46</v>
      </c>
      <c r="K356" t="s">
        <v>48</v>
      </c>
      <c r="L356" t="s">
        <v>49</v>
      </c>
      <c r="M356" t="s">
        <v>50</v>
      </c>
      <c r="N356" t="s">
        <v>51</v>
      </c>
      <c r="O356">
        <v>3.45</v>
      </c>
      <c r="P356">
        <v>8.26</v>
      </c>
      <c r="Q356" t="s">
        <v>46</v>
      </c>
      <c r="R356" t="s">
        <v>52</v>
      </c>
      <c r="S356" t="s">
        <v>53</v>
      </c>
      <c r="T356" t="s">
        <v>46</v>
      </c>
      <c r="U356" t="s">
        <v>54</v>
      </c>
      <c r="V356" t="s">
        <v>55</v>
      </c>
      <c r="W356" t="s">
        <v>85</v>
      </c>
      <c r="X356" t="s">
        <v>333</v>
      </c>
      <c r="Y356">
        <v>1.37</v>
      </c>
      <c r="Z356" t="s">
        <v>46</v>
      </c>
      <c r="AA356" t="s">
        <v>58</v>
      </c>
      <c r="AB356" t="s">
        <v>59</v>
      </c>
      <c r="AC356">
        <v>283</v>
      </c>
      <c r="AD356" t="s">
        <v>46</v>
      </c>
      <c r="AE356" t="s">
        <v>60</v>
      </c>
      <c r="AF356" t="s">
        <v>45</v>
      </c>
      <c r="AG356" t="s">
        <v>46</v>
      </c>
      <c r="AH356" t="s">
        <v>61</v>
      </c>
      <c r="AI356" t="s">
        <v>48</v>
      </c>
      <c r="AJ356" t="s">
        <v>62</v>
      </c>
      <c r="AK356" t="s">
        <v>63</v>
      </c>
      <c r="AL356" t="s">
        <v>376</v>
      </c>
      <c r="AM356" t="s">
        <v>46</v>
      </c>
      <c r="AN356" t="s">
        <v>60</v>
      </c>
      <c r="AO356" t="s">
        <v>62</v>
      </c>
      <c r="AP356" t="s">
        <v>677</v>
      </c>
      <c r="AQ356" t="s">
        <v>66</v>
      </c>
      <c r="AR356" t="s">
        <v>67</v>
      </c>
    </row>
    <row r="357" spans="1:44">
      <c r="A357" s="1">
        <v>45427</v>
      </c>
      <c r="B357" s="2">
        <v>0.24994212962962964</v>
      </c>
      <c r="C357" t="s">
        <v>44</v>
      </c>
      <c r="D357" t="s">
        <v>45</v>
      </c>
      <c r="E357">
        <v>0.69699999999999995</v>
      </c>
      <c r="F357" t="s">
        <v>46</v>
      </c>
      <c r="G357" t="s">
        <v>47</v>
      </c>
      <c r="H357" t="s">
        <v>45</v>
      </c>
      <c r="I357">
        <v>0.31059999999999999</v>
      </c>
      <c r="J357" t="s">
        <v>46</v>
      </c>
      <c r="K357" t="s">
        <v>48</v>
      </c>
      <c r="L357" t="s">
        <v>49</v>
      </c>
      <c r="M357" t="s">
        <v>50</v>
      </c>
      <c r="N357" t="s">
        <v>51</v>
      </c>
      <c r="O357">
        <v>3.45</v>
      </c>
      <c r="P357">
        <v>8.26</v>
      </c>
      <c r="Q357" t="s">
        <v>46</v>
      </c>
      <c r="R357" t="s">
        <v>52</v>
      </c>
      <c r="S357" t="s">
        <v>53</v>
      </c>
      <c r="T357" t="s">
        <v>46</v>
      </c>
      <c r="U357" t="s">
        <v>54</v>
      </c>
      <c r="V357" t="s">
        <v>55</v>
      </c>
      <c r="W357" t="s">
        <v>88</v>
      </c>
      <c r="X357" t="s">
        <v>340</v>
      </c>
      <c r="Y357">
        <v>1.36</v>
      </c>
      <c r="Z357" t="s">
        <v>46</v>
      </c>
      <c r="AA357" t="s">
        <v>58</v>
      </c>
      <c r="AB357" t="s">
        <v>59</v>
      </c>
      <c r="AC357">
        <v>283</v>
      </c>
      <c r="AD357" t="s">
        <v>46</v>
      </c>
      <c r="AE357" t="s">
        <v>60</v>
      </c>
      <c r="AF357" t="s">
        <v>45</v>
      </c>
      <c r="AG357" t="s">
        <v>46</v>
      </c>
      <c r="AH357" t="s">
        <v>61</v>
      </c>
      <c r="AI357" t="s">
        <v>48</v>
      </c>
      <c r="AJ357" t="s">
        <v>62</v>
      </c>
      <c r="AK357" t="s">
        <v>63</v>
      </c>
      <c r="AL357" t="s">
        <v>376</v>
      </c>
      <c r="AM357" t="s">
        <v>46</v>
      </c>
      <c r="AN357" t="s">
        <v>60</v>
      </c>
      <c r="AO357" t="s">
        <v>62</v>
      </c>
      <c r="AP357" t="s">
        <v>678</v>
      </c>
      <c r="AQ357" t="s">
        <v>66</v>
      </c>
      <c r="AR357" t="s">
        <v>67</v>
      </c>
    </row>
    <row r="358" spans="1:44">
      <c r="A358" s="1">
        <v>45427</v>
      </c>
      <c r="B358" s="2">
        <v>0.25</v>
      </c>
      <c r="C358" t="s">
        <v>44</v>
      </c>
      <c r="D358" t="s">
        <v>45</v>
      </c>
      <c r="E358">
        <v>0.72399999999999998</v>
      </c>
      <c r="F358" t="s">
        <v>46</v>
      </c>
      <c r="G358" t="s">
        <v>47</v>
      </c>
      <c r="H358" t="s">
        <v>45</v>
      </c>
      <c r="I358">
        <v>0.31059999999999999</v>
      </c>
      <c r="J358" t="s">
        <v>46</v>
      </c>
      <c r="K358" t="s">
        <v>48</v>
      </c>
      <c r="L358" t="s">
        <v>49</v>
      </c>
      <c r="M358" t="s">
        <v>50</v>
      </c>
      <c r="N358" t="s">
        <v>51</v>
      </c>
      <c r="O358">
        <v>3.45</v>
      </c>
      <c r="P358">
        <v>8.26</v>
      </c>
      <c r="Q358" t="s">
        <v>46</v>
      </c>
      <c r="R358" t="s">
        <v>52</v>
      </c>
      <c r="S358" t="s">
        <v>53</v>
      </c>
      <c r="T358" t="s">
        <v>46</v>
      </c>
      <c r="U358" t="s">
        <v>54</v>
      </c>
      <c r="V358" t="s">
        <v>55</v>
      </c>
      <c r="W358" t="s">
        <v>350</v>
      </c>
      <c r="X358" t="s">
        <v>340</v>
      </c>
      <c r="Y358">
        <v>1.36</v>
      </c>
      <c r="Z358" t="s">
        <v>46</v>
      </c>
      <c r="AA358" t="s">
        <v>58</v>
      </c>
      <c r="AB358" t="s">
        <v>59</v>
      </c>
      <c r="AC358">
        <v>283</v>
      </c>
      <c r="AD358" t="s">
        <v>46</v>
      </c>
      <c r="AE358" t="s">
        <v>60</v>
      </c>
      <c r="AF358" t="s">
        <v>45</v>
      </c>
      <c r="AG358" t="s">
        <v>46</v>
      </c>
      <c r="AH358" t="s">
        <v>61</v>
      </c>
      <c r="AI358" t="s">
        <v>48</v>
      </c>
      <c r="AJ358" t="s">
        <v>62</v>
      </c>
      <c r="AK358" t="s">
        <v>63</v>
      </c>
      <c r="AL358" t="s">
        <v>376</v>
      </c>
      <c r="AM358" t="s">
        <v>46</v>
      </c>
      <c r="AN358" t="s">
        <v>60</v>
      </c>
      <c r="AO358" t="s">
        <v>62</v>
      </c>
      <c r="AP358" t="s">
        <v>679</v>
      </c>
      <c r="AQ358" t="s">
        <v>66</v>
      </c>
      <c r="AR358" t="s">
        <v>67</v>
      </c>
    </row>
    <row r="359" spans="1:44">
      <c r="A359" s="1">
        <v>45427</v>
      </c>
      <c r="B359" s="2">
        <v>0.25004629629629632</v>
      </c>
      <c r="C359" t="s">
        <v>44</v>
      </c>
      <c r="D359" t="s">
        <v>45</v>
      </c>
      <c r="E359">
        <v>0.51500000000000001</v>
      </c>
      <c r="F359" t="s">
        <v>46</v>
      </c>
      <c r="G359" t="s">
        <v>47</v>
      </c>
      <c r="H359" t="s">
        <v>45</v>
      </c>
      <c r="I359">
        <v>0.31069999999999998</v>
      </c>
      <c r="J359" t="s">
        <v>46</v>
      </c>
      <c r="K359" t="s">
        <v>48</v>
      </c>
      <c r="L359" t="s">
        <v>49</v>
      </c>
      <c r="M359" t="s">
        <v>50</v>
      </c>
      <c r="N359" t="s">
        <v>51</v>
      </c>
      <c r="O359">
        <v>3.45</v>
      </c>
      <c r="P359">
        <v>8.26</v>
      </c>
      <c r="Q359" t="s">
        <v>46</v>
      </c>
      <c r="R359" t="s">
        <v>52</v>
      </c>
      <c r="S359" t="s">
        <v>53</v>
      </c>
      <c r="T359" t="s">
        <v>46</v>
      </c>
      <c r="U359" t="s">
        <v>54</v>
      </c>
      <c r="V359" t="s">
        <v>55</v>
      </c>
      <c r="W359" t="s">
        <v>114</v>
      </c>
      <c r="X359" t="s">
        <v>292</v>
      </c>
      <c r="Y359">
        <v>1.36</v>
      </c>
      <c r="Z359" t="s">
        <v>46</v>
      </c>
      <c r="AA359" t="s">
        <v>58</v>
      </c>
      <c r="AB359" t="s">
        <v>59</v>
      </c>
      <c r="AC359">
        <v>283</v>
      </c>
      <c r="AD359" t="s">
        <v>46</v>
      </c>
      <c r="AE359" t="s">
        <v>60</v>
      </c>
      <c r="AF359" t="s">
        <v>45</v>
      </c>
      <c r="AG359" t="s">
        <v>46</v>
      </c>
      <c r="AH359" t="s">
        <v>61</v>
      </c>
      <c r="AI359" t="s">
        <v>48</v>
      </c>
      <c r="AJ359" t="s">
        <v>62</v>
      </c>
      <c r="AK359" t="s">
        <v>63</v>
      </c>
      <c r="AL359" t="s">
        <v>376</v>
      </c>
      <c r="AM359" t="s">
        <v>46</v>
      </c>
      <c r="AN359" t="s">
        <v>60</v>
      </c>
      <c r="AO359" t="s">
        <v>62</v>
      </c>
      <c r="AP359" t="s">
        <v>680</v>
      </c>
      <c r="AQ359" t="s">
        <v>66</v>
      </c>
      <c r="AR359" t="s">
        <v>67</v>
      </c>
    </row>
    <row r="360" spans="1:44">
      <c r="A360" s="1">
        <v>45427</v>
      </c>
      <c r="B360" s="2">
        <v>0.25009259259259259</v>
      </c>
      <c r="C360" t="s">
        <v>44</v>
      </c>
      <c r="D360" t="s">
        <v>45</v>
      </c>
      <c r="E360">
        <v>0.71</v>
      </c>
      <c r="F360" t="s">
        <v>46</v>
      </c>
      <c r="G360" t="s">
        <v>47</v>
      </c>
      <c r="H360" t="s">
        <v>45</v>
      </c>
      <c r="I360">
        <v>0.3105</v>
      </c>
      <c r="J360" t="s">
        <v>46</v>
      </c>
      <c r="K360" t="s">
        <v>48</v>
      </c>
      <c r="L360" t="s">
        <v>49</v>
      </c>
      <c r="M360" t="s">
        <v>50</v>
      </c>
      <c r="N360" t="s">
        <v>51</v>
      </c>
      <c r="O360">
        <v>3.45</v>
      </c>
      <c r="P360">
        <v>8.26</v>
      </c>
      <c r="Q360" t="s">
        <v>46</v>
      </c>
      <c r="R360" t="s">
        <v>52</v>
      </c>
      <c r="S360" t="s">
        <v>53</v>
      </c>
      <c r="T360" t="s">
        <v>46</v>
      </c>
      <c r="U360" t="s">
        <v>54</v>
      </c>
      <c r="V360" t="s">
        <v>55</v>
      </c>
      <c r="W360" t="s">
        <v>305</v>
      </c>
      <c r="X360" t="s">
        <v>292</v>
      </c>
      <c r="Y360">
        <v>1.36</v>
      </c>
      <c r="Z360" t="s">
        <v>46</v>
      </c>
      <c r="AA360" t="s">
        <v>58</v>
      </c>
      <c r="AB360" t="s">
        <v>59</v>
      </c>
      <c r="AC360">
        <v>283</v>
      </c>
      <c r="AD360" t="s">
        <v>46</v>
      </c>
      <c r="AE360" t="s">
        <v>60</v>
      </c>
      <c r="AF360" t="s">
        <v>45</v>
      </c>
      <c r="AG360" t="s">
        <v>46</v>
      </c>
      <c r="AH360" t="s">
        <v>61</v>
      </c>
      <c r="AI360" t="s">
        <v>48</v>
      </c>
      <c r="AJ360" t="s">
        <v>62</v>
      </c>
      <c r="AK360" t="s">
        <v>63</v>
      </c>
      <c r="AL360" t="s">
        <v>376</v>
      </c>
      <c r="AM360" t="s">
        <v>46</v>
      </c>
      <c r="AN360" t="s">
        <v>60</v>
      </c>
      <c r="AO360" t="s">
        <v>62</v>
      </c>
      <c r="AP360" t="s">
        <v>681</v>
      </c>
      <c r="AQ360" t="s">
        <v>66</v>
      </c>
      <c r="AR360" t="s">
        <v>67</v>
      </c>
    </row>
    <row r="361" spans="1:44">
      <c r="A361" s="1">
        <v>45427</v>
      </c>
      <c r="B361" s="2">
        <v>0.25013888888888891</v>
      </c>
      <c r="C361" t="s">
        <v>44</v>
      </c>
      <c r="D361" t="s">
        <v>45</v>
      </c>
      <c r="E361">
        <v>0.54500000000000004</v>
      </c>
      <c r="F361" t="s">
        <v>46</v>
      </c>
      <c r="G361" t="s">
        <v>47</v>
      </c>
      <c r="H361" t="s">
        <v>45</v>
      </c>
      <c r="I361">
        <v>0.31059999999999999</v>
      </c>
      <c r="J361" t="s">
        <v>46</v>
      </c>
      <c r="K361" t="s">
        <v>48</v>
      </c>
      <c r="L361" t="s">
        <v>49</v>
      </c>
      <c r="M361" t="s">
        <v>50</v>
      </c>
      <c r="N361" t="s">
        <v>51</v>
      </c>
      <c r="O361">
        <v>3.45</v>
      </c>
      <c r="P361">
        <v>8.26</v>
      </c>
      <c r="Q361" t="s">
        <v>46</v>
      </c>
      <c r="R361" t="s">
        <v>52</v>
      </c>
      <c r="S361" t="s">
        <v>53</v>
      </c>
      <c r="T361" t="s">
        <v>46</v>
      </c>
      <c r="U361" t="s">
        <v>54</v>
      </c>
      <c r="V361" t="s">
        <v>55</v>
      </c>
      <c r="W361" t="s">
        <v>305</v>
      </c>
      <c r="X361" t="s">
        <v>292</v>
      </c>
      <c r="Y361">
        <v>1.36</v>
      </c>
      <c r="Z361" t="s">
        <v>46</v>
      </c>
      <c r="AA361" t="s">
        <v>58</v>
      </c>
      <c r="AB361" t="s">
        <v>59</v>
      </c>
      <c r="AC361">
        <v>283</v>
      </c>
      <c r="AD361" t="s">
        <v>46</v>
      </c>
      <c r="AE361" t="s">
        <v>60</v>
      </c>
      <c r="AF361" t="s">
        <v>45</v>
      </c>
      <c r="AG361" t="s">
        <v>46</v>
      </c>
      <c r="AH361" t="s">
        <v>61</v>
      </c>
      <c r="AI361" t="s">
        <v>48</v>
      </c>
      <c r="AJ361" t="s">
        <v>62</v>
      </c>
      <c r="AK361" t="s">
        <v>63</v>
      </c>
      <c r="AL361" t="s">
        <v>376</v>
      </c>
      <c r="AM361" t="s">
        <v>46</v>
      </c>
      <c r="AN361" t="s">
        <v>60</v>
      </c>
      <c r="AO361" t="s">
        <v>62</v>
      </c>
      <c r="AP361" t="s">
        <v>682</v>
      </c>
      <c r="AQ361" t="s">
        <v>66</v>
      </c>
      <c r="AR361" t="s">
        <v>67</v>
      </c>
    </row>
    <row r="362" spans="1:44">
      <c r="A362" s="1">
        <v>45427</v>
      </c>
      <c r="B362" s="2">
        <v>0.25018518518518518</v>
      </c>
      <c r="C362" t="s">
        <v>44</v>
      </c>
      <c r="D362" t="s">
        <v>45</v>
      </c>
      <c r="E362">
        <v>0.53300000000000003</v>
      </c>
      <c r="F362" t="s">
        <v>46</v>
      </c>
      <c r="G362" t="s">
        <v>47</v>
      </c>
      <c r="H362" t="s">
        <v>45</v>
      </c>
      <c r="I362">
        <v>0.31040000000000001</v>
      </c>
      <c r="J362" t="s">
        <v>46</v>
      </c>
      <c r="K362" t="s">
        <v>48</v>
      </c>
      <c r="L362" t="s">
        <v>49</v>
      </c>
      <c r="M362" t="s">
        <v>50</v>
      </c>
      <c r="N362" t="s">
        <v>51</v>
      </c>
      <c r="O362">
        <v>3.45</v>
      </c>
      <c r="P362">
        <v>8.26</v>
      </c>
      <c r="Q362" t="s">
        <v>46</v>
      </c>
      <c r="R362" t="s">
        <v>52</v>
      </c>
      <c r="S362" t="s">
        <v>53</v>
      </c>
      <c r="T362" t="s">
        <v>46</v>
      </c>
      <c r="U362" t="s">
        <v>54</v>
      </c>
      <c r="V362" t="s">
        <v>55</v>
      </c>
      <c r="W362" t="s">
        <v>403</v>
      </c>
      <c r="X362" t="s">
        <v>328</v>
      </c>
      <c r="Y362">
        <v>1.36</v>
      </c>
      <c r="Z362" t="s">
        <v>46</v>
      </c>
      <c r="AA362" t="s">
        <v>58</v>
      </c>
      <c r="AB362" t="s">
        <v>59</v>
      </c>
      <c r="AC362">
        <v>283</v>
      </c>
      <c r="AD362" t="s">
        <v>46</v>
      </c>
      <c r="AE362" t="s">
        <v>60</v>
      </c>
      <c r="AF362" t="s">
        <v>45</v>
      </c>
      <c r="AG362" t="s">
        <v>46</v>
      </c>
      <c r="AH362" t="s">
        <v>61</v>
      </c>
      <c r="AI362" t="s">
        <v>48</v>
      </c>
      <c r="AJ362" t="s">
        <v>62</v>
      </c>
      <c r="AK362" t="s">
        <v>63</v>
      </c>
      <c r="AL362" t="s">
        <v>376</v>
      </c>
      <c r="AM362" t="s">
        <v>46</v>
      </c>
      <c r="AN362" t="s">
        <v>60</v>
      </c>
      <c r="AO362" t="s">
        <v>62</v>
      </c>
      <c r="AP362" t="s">
        <v>683</v>
      </c>
      <c r="AQ362" t="s">
        <v>66</v>
      </c>
      <c r="AR362" t="s">
        <v>67</v>
      </c>
    </row>
    <row r="363" spans="1:44">
      <c r="A363" s="1">
        <v>45427</v>
      </c>
      <c r="B363" s="2">
        <v>0.25024305555555554</v>
      </c>
      <c r="C363" t="s">
        <v>44</v>
      </c>
      <c r="D363" t="s">
        <v>45</v>
      </c>
      <c r="E363">
        <v>0.71</v>
      </c>
      <c r="F363" t="s">
        <v>46</v>
      </c>
      <c r="G363" t="s">
        <v>47</v>
      </c>
      <c r="H363" t="s">
        <v>45</v>
      </c>
      <c r="I363">
        <v>0.3105</v>
      </c>
      <c r="J363" t="s">
        <v>46</v>
      </c>
      <c r="K363" t="s">
        <v>48</v>
      </c>
      <c r="L363" t="s">
        <v>49</v>
      </c>
      <c r="M363" t="s">
        <v>50</v>
      </c>
      <c r="N363" t="s">
        <v>51</v>
      </c>
      <c r="O363">
        <v>3.45</v>
      </c>
      <c r="P363">
        <v>8.26</v>
      </c>
      <c r="Q363" t="s">
        <v>46</v>
      </c>
      <c r="R363" t="s">
        <v>52</v>
      </c>
      <c r="S363" t="s">
        <v>53</v>
      </c>
      <c r="T363" t="s">
        <v>46</v>
      </c>
      <c r="U363" t="s">
        <v>54</v>
      </c>
      <c r="V363" t="s">
        <v>55</v>
      </c>
      <c r="W363" t="s">
        <v>405</v>
      </c>
      <c r="X363" t="s">
        <v>68</v>
      </c>
      <c r="Y363">
        <v>1.35</v>
      </c>
      <c r="Z363" t="s">
        <v>46</v>
      </c>
      <c r="AA363" t="s">
        <v>58</v>
      </c>
      <c r="AB363" t="s">
        <v>59</v>
      </c>
      <c r="AC363">
        <v>282</v>
      </c>
      <c r="AD363" t="s">
        <v>46</v>
      </c>
      <c r="AE363" t="s">
        <v>60</v>
      </c>
      <c r="AF363" t="s">
        <v>45</v>
      </c>
      <c r="AG363" t="s">
        <v>46</v>
      </c>
      <c r="AH363" t="s">
        <v>61</v>
      </c>
      <c r="AI363" t="s">
        <v>48</v>
      </c>
      <c r="AJ363" t="s">
        <v>62</v>
      </c>
      <c r="AK363" t="s">
        <v>63</v>
      </c>
      <c r="AL363" t="s">
        <v>376</v>
      </c>
      <c r="AM363" t="s">
        <v>46</v>
      </c>
      <c r="AN363" t="s">
        <v>60</v>
      </c>
      <c r="AO363" t="s">
        <v>62</v>
      </c>
      <c r="AP363" t="s">
        <v>684</v>
      </c>
      <c r="AQ363" t="s">
        <v>66</v>
      </c>
      <c r="AR363" t="s">
        <v>67</v>
      </c>
    </row>
    <row r="364" spans="1:44">
      <c r="A364" s="1">
        <v>45427</v>
      </c>
      <c r="B364" s="2">
        <v>0.25028935185185186</v>
      </c>
      <c r="C364" t="s">
        <v>44</v>
      </c>
      <c r="D364" t="s">
        <v>45</v>
      </c>
      <c r="E364">
        <v>0.71399999999999997</v>
      </c>
      <c r="F364" t="s">
        <v>46</v>
      </c>
      <c r="G364" t="s">
        <v>47</v>
      </c>
      <c r="H364" t="s">
        <v>45</v>
      </c>
      <c r="I364">
        <v>0.3105</v>
      </c>
      <c r="J364" t="s">
        <v>46</v>
      </c>
      <c r="K364" t="s">
        <v>48</v>
      </c>
      <c r="L364" t="s">
        <v>49</v>
      </c>
      <c r="M364" t="s">
        <v>50</v>
      </c>
      <c r="N364" t="s">
        <v>51</v>
      </c>
      <c r="O364">
        <v>3.45</v>
      </c>
      <c r="P364">
        <v>8.26</v>
      </c>
      <c r="Q364" t="s">
        <v>46</v>
      </c>
      <c r="R364" t="s">
        <v>52</v>
      </c>
      <c r="S364" t="s">
        <v>53</v>
      </c>
      <c r="T364" t="s">
        <v>46</v>
      </c>
      <c r="U364" t="s">
        <v>54</v>
      </c>
      <c r="V364" t="s">
        <v>55</v>
      </c>
      <c r="W364" t="s">
        <v>74</v>
      </c>
      <c r="X364" t="s">
        <v>460</v>
      </c>
      <c r="Y364">
        <v>1.37</v>
      </c>
      <c r="Z364" t="s">
        <v>46</v>
      </c>
      <c r="AA364" t="s">
        <v>58</v>
      </c>
      <c r="AB364" t="s">
        <v>59</v>
      </c>
      <c r="AC364">
        <v>282</v>
      </c>
      <c r="AD364" t="s">
        <v>46</v>
      </c>
      <c r="AE364" t="s">
        <v>60</v>
      </c>
      <c r="AF364" t="s">
        <v>45</v>
      </c>
      <c r="AG364" t="s">
        <v>46</v>
      </c>
      <c r="AH364" t="s">
        <v>61</v>
      </c>
      <c r="AI364" t="s">
        <v>48</v>
      </c>
      <c r="AJ364" t="s">
        <v>62</v>
      </c>
      <c r="AK364" t="s">
        <v>63</v>
      </c>
      <c r="AL364" t="s">
        <v>376</v>
      </c>
      <c r="AM364" t="s">
        <v>46</v>
      </c>
      <c r="AN364" t="s">
        <v>60</v>
      </c>
      <c r="AO364" t="s">
        <v>62</v>
      </c>
      <c r="AP364" t="s">
        <v>685</v>
      </c>
      <c r="AQ364" t="s">
        <v>66</v>
      </c>
      <c r="AR364" t="s">
        <v>67</v>
      </c>
    </row>
    <row r="365" spans="1:44">
      <c r="A365" s="1">
        <v>45427</v>
      </c>
      <c r="B365" s="2">
        <v>0.25033564814814813</v>
      </c>
      <c r="C365" t="s">
        <v>44</v>
      </c>
      <c r="D365" t="s">
        <v>45</v>
      </c>
      <c r="E365">
        <v>0.53100000000000003</v>
      </c>
      <c r="F365" t="s">
        <v>46</v>
      </c>
      <c r="G365" t="s">
        <v>47</v>
      </c>
      <c r="H365" t="s">
        <v>45</v>
      </c>
      <c r="I365">
        <v>0.31059999999999999</v>
      </c>
      <c r="J365" t="s">
        <v>46</v>
      </c>
      <c r="K365" t="s">
        <v>48</v>
      </c>
      <c r="L365" t="s">
        <v>49</v>
      </c>
      <c r="M365" t="s">
        <v>50</v>
      </c>
      <c r="N365" t="s">
        <v>51</v>
      </c>
      <c r="O365">
        <v>3.45</v>
      </c>
      <c r="P365">
        <v>8.26</v>
      </c>
      <c r="Q365" t="s">
        <v>46</v>
      </c>
      <c r="R365" t="s">
        <v>52</v>
      </c>
      <c r="S365" t="s">
        <v>53</v>
      </c>
      <c r="T365" t="s">
        <v>46</v>
      </c>
      <c r="U365" t="s">
        <v>54</v>
      </c>
      <c r="V365" t="s">
        <v>55</v>
      </c>
      <c r="W365" t="s">
        <v>192</v>
      </c>
      <c r="X365" t="s">
        <v>71</v>
      </c>
      <c r="Y365">
        <v>1.37</v>
      </c>
      <c r="Z365" t="s">
        <v>46</v>
      </c>
      <c r="AA365" t="s">
        <v>58</v>
      </c>
      <c r="AB365" t="s">
        <v>59</v>
      </c>
      <c r="AC365">
        <v>282</v>
      </c>
      <c r="AD365" t="s">
        <v>46</v>
      </c>
      <c r="AE365" t="s">
        <v>60</v>
      </c>
      <c r="AF365" t="s">
        <v>45</v>
      </c>
      <c r="AG365" t="s">
        <v>46</v>
      </c>
      <c r="AH365" t="s">
        <v>61</v>
      </c>
      <c r="AI365" t="s">
        <v>48</v>
      </c>
      <c r="AJ365" t="s">
        <v>62</v>
      </c>
      <c r="AK365" t="s">
        <v>63</v>
      </c>
      <c r="AL365" t="s">
        <v>376</v>
      </c>
      <c r="AM365" t="s">
        <v>46</v>
      </c>
      <c r="AN365" t="s">
        <v>60</v>
      </c>
      <c r="AO365" t="s">
        <v>62</v>
      </c>
      <c r="AP365" t="s">
        <v>686</v>
      </c>
      <c r="AQ365" t="s">
        <v>66</v>
      </c>
      <c r="AR365" t="s">
        <v>67</v>
      </c>
    </row>
    <row r="366" spans="1:44">
      <c r="A366" s="1">
        <v>45427</v>
      </c>
      <c r="B366" s="2">
        <v>0.25038194444444445</v>
      </c>
      <c r="C366" t="s">
        <v>44</v>
      </c>
      <c r="D366" t="s">
        <v>45</v>
      </c>
      <c r="E366">
        <v>1</v>
      </c>
      <c r="F366" t="s">
        <v>46</v>
      </c>
      <c r="G366" t="s">
        <v>47</v>
      </c>
      <c r="H366" t="s">
        <v>45</v>
      </c>
      <c r="I366">
        <v>0.3105</v>
      </c>
      <c r="J366" t="s">
        <v>46</v>
      </c>
      <c r="K366" t="s">
        <v>48</v>
      </c>
      <c r="L366" t="s">
        <v>49</v>
      </c>
      <c r="M366" t="s">
        <v>50</v>
      </c>
      <c r="N366" t="s">
        <v>51</v>
      </c>
      <c r="O366">
        <v>3.45</v>
      </c>
      <c r="P366">
        <v>8.26</v>
      </c>
      <c r="Q366" t="s">
        <v>46</v>
      </c>
      <c r="R366" t="s">
        <v>52</v>
      </c>
      <c r="S366" t="s">
        <v>53</v>
      </c>
      <c r="T366" t="s">
        <v>46</v>
      </c>
      <c r="U366" t="s">
        <v>54</v>
      </c>
      <c r="V366" t="s">
        <v>55</v>
      </c>
      <c r="W366" t="s">
        <v>56</v>
      </c>
      <c r="X366" t="s">
        <v>460</v>
      </c>
      <c r="Y366">
        <v>1.37</v>
      </c>
      <c r="Z366" t="s">
        <v>46</v>
      </c>
      <c r="AA366" t="s">
        <v>58</v>
      </c>
      <c r="AB366" t="s">
        <v>59</v>
      </c>
      <c r="AC366">
        <v>283</v>
      </c>
      <c r="AD366" t="s">
        <v>46</v>
      </c>
      <c r="AE366" t="s">
        <v>60</v>
      </c>
      <c r="AF366" t="s">
        <v>45</v>
      </c>
      <c r="AG366" t="s">
        <v>46</v>
      </c>
      <c r="AH366" t="s">
        <v>61</v>
      </c>
      <c r="AI366" t="s">
        <v>48</v>
      </c>
      <c r="AJ366" t="s">
        <v>62</v>
      </c>
      <c r="AK366" t="s">
        <v>63</v>
      </c>
      <c r="AL366" t="s">
        <v>376</v>
      </c>
      <c r="AM366" t="s">
        <v>46</v>
      </c>
      <c r="AN366" t="s">
        <v>60</v>
      </c>
      <c r="AO366" t="s">
        <v>62</v>
      </c>
      <c r="AP366" t="s">
        <v>687</v>
      </c>
      <c r="AQ366" t="s">
        <v>66</v>
      </c>
      <c r="AR366" t="s">
        <v>67</v>
      </c>
    </row>
    <row r="367" spans="1:44">
      <c r="A367" s="1">
        <v>45427</v>
      </c>
      <c r="B367" s="2">
        <v>0.25043981481481481</v>
      </c>
      <c r="C367" t="s">
        <v>44</v>
      </c>
      <c r="D367" t="s">
        <v>45</v>
      </c>
      <c r="E367">
        <v>0.56200000000000006</v>
      </c>
      <c r="F367" t="s">
        <v>46</v>
      </c>
      <c r="G367" t="s">
        <v>47</v>
      </c>
      <c r="H367" t="s">
        <v>45</v>
      </c>
      <c r="I367">
        <v>0.31069999999999998</v>
      </c>
      <c r="J367" t="s">
        <v>46</v>
      </c>
      <c r="K367" t="s">
        <v>48</v>
      </c>
      <c r="L367" t="s">
        <v>49</v>
      </c>
      <c r="M367" t="s">
        <v>50</v>
      </c>
      <c r="N367" t="s">
        <v>51</v>
      </c>
      <c r="O367">
        <v>3.45</v>
      </c>
      <c r="P367">
        <v>8.26</v>
      </c>
      <c r="Q367" t="s">
        <v>46</v>
      </c>
      <c r="R367" t="s">
        <v>52</v>
      </c>
      <c r="S367" t="s">
        <v>53</v>
      </c>
      <c r="T367" t="s">
        <v>46</v>
      </c>
      <c r="U367" t="s">
        <v>54</v>
      </c>
      <c r="V367" t="s">
        <v>55</v>
      </c>
      <c r="W367" t="s">
        <v>213</v>
      </c>
      <c r="X367" t="s">
        <v>71</v>
      </c>
      <c r="Y367">
        <v>1.37</v>
      </c>
      <c r="Z367" t="s">
        <v>46</v>
      </c>
      <c r="AA367" t="s">
        <v>58</v>
      </c>
      <c r="AB367" t="s">
        <v>59</v>
      </c>
      <c r="AC367">
        <v>282</v>
      </c>
      <c r="AD367" t="s">
        <v>46</v>
      </c>
      <c r="AE367" t="s">
        <v>60</v>
      </c>
      <c r="AF367" t="s">
        <v>45</v>
      </c>
      <c r="AG367" t="s">
        <v>46</v>
      </c>
      <c r="AH367" t="s">
        <v>61</v>
      </c>
      <c r="AI367" t="s">
        <v>48</v>
      </c>
      <c r="AJ367" t="s">
        <v>62</v>
      </c>
      <c r="AK367" t="s">
        <v>63</v>
      </c>
      <c r="AL367" t="s">
        <v>376</v>
      </c>
      <c r="AM367" t="s">
        <v>46</v>
      </c>
      <c r="AN367" t="s">
        <v>60</v>
      </c>
      <c r="AO367" t="s">
        <v>62</v>
      </c>
      <c r="AP367" t="s">
        <v>688</v>
      </c>
      <c r="AQ367" t="s">
        <v>66</v>
      </c>
      <c r="AR367" t="s">
        <v>67</v>
      </c>
    </row>
    <row r="368" spans="1:44">
      <c r="A368" s="1">
        <v>45427</v>
      </c>
      <c r="B368" s="2">
        <v>0.25048611111111113</v>
      </c>
      <c r="C368" t="s">
        <v>44</v>
      </c>
      <c r="D368" t="s">
        <v>45</v>
      </c>
      <c r="E368">
        <v>0.59399999999999997</v>
      </c>
      <c r="F368" t="s">
        <v>46</v>
      </c>
      <c r="G368" t="s">
        <v>47</v>
      </c>
      <c r="H368" t="s">
        <v>45</v>
      </c>
      <c r="I368">
        <v>0.3105</v>
      </c>
      <c r="J368" t="s">
        <v>46</v>
      </c>
      <c r="K368" t="s">
        <v>48</v>
      </c>
      <c r="L368" t="s">
        <v>49</v>
      </c>
      <c r="M368" t="s">
        <v>50</v>
      </c>
      <c r="N368" t="s">
        <v>51</v>
      </c>
      <c r="O368">
        <v>3.45</v>
      </c>
      <c r="P368">
        <v>8.26</v>
      </c>
      <c r="Q368" t="s">
        <v>46</v>
      </c>
      <c r="R368" t="s">
        <v>52</v>
      </c>
      <c r="S368" t="s">
        <v>53</v>
      </c>
      <c r="T368" t="s">
        <v>46</v>
      </c>
      <c r="U368" t="s">
        <v>54</v>
      </c>
      <c r="V368" t="s">
        <v>55</v>
      </c>
      <c r="W368" t="s">
        <v>213</v>
      </c>
      <c r="X368" t="s">
        <v>71</v>
      </c>
      <c r="Y368">
        <v>1.37</v>
      </c>
      <c r="Z368" t="s">
        <v>46</v>
      </c>
      <c r="AA368" t="s">
        <v>58</v>
      </c>
      <c r="AB368" t="s">
        <v>59</v>
      </c>
      <c r="AC368">
        <v>282</v>
      </c>
      <c r="AD368" t="s">
        <v>46</v>
      </c>
      <c r="AE368" t="s">
        <v>60</v>
      </c>
      <c r="AF368" t="s">
        <v>45</v>
      </c>
      <c r="AG368" t="s">
        <v>46</v>
      </c>
      <c r="AH368" t="s">
        <v>61</v>
      </c>
      <c r="AI368" t="s">
        <v>48</v>
      </c>
      <c r="AJ368" t="s">
        <v>62</v>
      </c>
      <c r="AK368" t="s">
        <v>63</v>
      </c>
      <c r="AL368" t="s">
        <v>376</v>
      </c>
      <c r="AM368" t="s">
        <v>46</v>
      </c>
      <c r="AN368" t="s">
        <v>60</v>
      </c>
      <c r="AO368" t="s">
        <v>62</v>
      </c>
      <c r="AP368" t="s">
        <v>689</v>
      </c>
      <c r="AQ368" t="s">
        <v>66</v>
      </c>
      <c r="AR368" t="s">
        <v>67</v>
      </c>
    </row>
    <row r="369" spans="1:44">
      <c r="A369" s="1">
        <v>45427</v>
      </c>
      <c r="B369" s="2">
        <v>0.2505324074074074</v>
      </c>
      <c r="C369" t="s">
        <v>44</v>
      </c>
      <c r="D369" t="s">
        <v>45</v>
      </c>
      <c r="E369">
        <v>0.71899999999999997</v>
      </c>
      <c r="F369" t="s">
        <v>46</v>
      </c>
      <c r="G369" t="s">
        <v>47</v>
      </c>
      <c r="H369" t="s">
        <v>45</v>
      </c>
      <c r="I369">
        <v>0.3105</v>
      </c>
      <c r="J369" t="s">
        <v>46</v>
      </c>
      <c r="K369" t="s">
        <v>48</v>
      </c>
      <c r="L369" t="s">
        <v>49</v>
      </c>
      <c r="M369" t="s">
        <v>50</v>
      </c>
      <c r="N369" t="s">
        <v>51</v>
      </c>
      <c r="O369">
        <v>3.45</v>
      </c>
      <c r="P369">
        <v>8.26</v>
      </c>
      <c r="Q369" t="s">
        <v>46</v>
      </c>
      <c r="R369" t="s">
        <v>52</v>
      </c>
      <c r="S369" t="s">
        <v>53</v>
      </c>
      <c r="T369" t="s">
        <v>46</v>
      </c>
      <c r="U369" t="s">
        <v>54</v>
      </c>
      <c r="V369" t="s">
        <v>55</v>
      </c>
      <c r="W369" t="s">
        <v>188</v>
      </c>
      <c r="X369" t="s">
        <v>71</v>
      </c>
      <c r="Y369">
        <v>1.37</v>
      </c>
      <c r="Z369" t="s">
        <v>46</v>
      </c>
      <c r="AA369" t="s">
        <v>58</v>
      </c>
      <c r="AB369" t="s">
        <v>59</v>
      </c>
      <c r="AC369">
        <v>282</v>
      </c>
      <c r="AD369" t="s">
        <v>46</v>
      </c>
      <c r="AE369" t="s">
        <v>60</v>
      </c>
      <c r="AF369" t="s">
        <v>45</v>
      </c>
      <c r="AG369" t="s">
        <v>46</v>
      </c>
      <c r="AH369" t="s">
        <v>61</v>
      </c>
      <c r="AI369" t="s">
        <v>48</v>
      </c>
      <c r="AJ369" t="s">
        <v>62</v>
      </c>
      <c r="AK369" t="s">
        <v>63</v>
      </c>
      <c r="AL369" t="s">
        <v>376</v>
      </c>
      <c r="AM369" t="s">
        <v>46</v>
      </c>
      <c r="AN369" t="s">
        <v>60</v>
      </c>
      <c r="AO369" t="s">
        <v>62</v>
      </c>
      <c r="AP369" t="s">
        <v>690</v>
      </c>
      <c r="AQ369" t="s">
        <v>66</v>
      </c>
      <c r="AR369" t="s">
        <v>67</v>
      </c>
    </row>
    <row r="370" spans="1:44">
      <c r="A370" s="1">
        <v>45427</v>
      </c>
      <c r="B370" s="2">
        <v>0.25057870370370372</v>
      </c>
      <c r="C370" t="s">
        <v>44</v>
      </c>
      <c r="D370" t="s">
        <v>45</v>
      </c>
      <c r="E370">
        <v>0.76500000000000001</v>
      </c>
      <c r="F370" t="s">
        <v>46</v>
      </c>
      <c r="G370" t="s">
        <v>47</v>
      </c>
      <c r="H370" t="s">
        <v>45</v>
      </c>
      <c r="I370">
        <v>0.31069999999999998</v>
      </c>
      <c r="J370" t="s">
        <v>46</v>
      </c>
      <c r="K370" t="s">
        <v>48</v>
      </c>
      <c r="L370" t="s">
        <v>49</v>
      </c>
      <c r="M370" t="s">
        <v>50</v>
      </c>
      <c r="N370" t="s">
        <v>51</v>
      </c>
      <c r="O370">
        <v>3.45</v>
      </c>
      <c r="P370">
        <v>8.26</v>
      </c>
      <c r="Q370" t="s">
        <v>46</v>
      </c>
      <c r="R370" t="s">
        <v>52</v>
      </c>
      <c r="S370" t="s">
        <v>53</v>
      </c>
      <c r="T370" t="s">
        <v>46</v>
      </c>
      <c r="U370" t="s">
        <v>54</v>
      </c>
      <c r="V370" t="s">
        <v>55</v>
      </c>
      <c r="W370" t="s">
        <v>292</v>
      </c>
      <c r="X370" t="s">
        <v>188</v>
      </c>
      <c r="Y370">
        <v>1.37</v>
      </c>
      <c r="Z370" t="s">
        <v>46</v>
      </c>
      <c r="AA370" t="s">
        <v>58</v>
      </c>
      <c r="AB370" t="s">
        <v>59</v>
      </c>
      <c r="AC370">
        <v>282</v>
      </c>
      <c r="AD370" t="s">
        <v>46</v>
      </c>
      <c r="AE370" t="s">
        <v>60</v>
      </c>
      <c r="AF370" t="s">
        <v>45</v>
      </c>
      <c r="AG370" t="s">
        <v>46</v>
      </c>
      <c r="AH370" t="s">
        <v>61</v>
      </c>
      <c r="AI370" t="s">
        <v>48</v>
      </c>
      <c r="AJ370" t="s">
        <v>62</v>
      </c>
      <c r="AK370" t="s">
        <v>63</v>
      </c>
      <c r="AL370" t="s">
        <v>376</v>
      </c>
      <c r="AM370" t="s">
        <v>46</v>
      </c>
      <c r="AN370" t="s">
        <v>60</v>
      </c>
      <c r="AO370" t="s">
        <v>62</v>
      </c>
      <c r="AP370" t="s">
        <v>691</v>
      </c>
      <c r="AQ370" t="s">
        <v>66</v>
      </c>
      <c r="AR370" t="s">
        <v>67</v>
      </c>
    </row>
    <row r="371" spans="1:44">
      <c r="A371" s="1">
        <v>45427</v>
      </c>
      <c r="B371" s="2">
        <v>0.25063657407407408</v>
      </c>
      <c r="C371" t="s">
        <v>44</v>
      </c>
      <c r="D371" t="s">
        <v>45</v>
      </c>
      <c r="E371">
        <v>0.89200000000000002</v>
      </c>
      <c r="F371" t="s">
        <v>46</v>
      </c>
      <c r="G371" t="s">
        <v>47</v>
      </c>
      <c r="H371" t="s">
        <v>45</v>
      </c>
      <c r="I371">
        <v>0.31069999999999998</v>
      </c>
      <c r="J371" t="s">
        <v>46</v>
      </c>
      <c r="K371" t="s">
        <v>48</v>
      </c>
      <c r="L371" t="s">
        <v>49</v>
      </c>
      <c r="M371" t="s">
        <v>50</v>
      </c>
      <c r="N371" t="s">
        <v>51</v>
      </c>
      <c r="O371">
        <v>3.45</v>
      </c>
      <c r="P371">
        <v>8.26</v>
      </c>
      <c r="Q371" t="s">
        <v>46</v>
      </c>
      <c r="R371" t="s">
        <v>52</v>
      </c>
      <c r="S371" t="s">
        <v>53</v>
      </c>
      <c r="T371" t="s">
        <v>46</v>
      </c>
      <c r="U371" t="s">
        <v>54</v>
      </c>
      <c r="V371" t="s">
        <v>55</v>
      </c>
      <c r="W371" t="s">
        <v>82</v>
      </c>
      <c r="X371" t="s">
        <v>333</v>
      </c>
      <c r="Y371">
        <v>1.36</v>
      </c>
      <c r="Z371" t="s">
        <v>46</v>
      </c>
      <c r="AA371" t="s">
        <v>58</v>
      </c>
      <c r="AB371" t="s">
        <v>59</v>
      </c>
      <c r="AC371">
        <v>283</v>
      </c>
      <c r="AD371" t="s">
        <v>46</v>
      </c>
      <c r="AE371" t="s">
        <v>60</v>
      </c>
      <c r="AF371" t="s">
        <v>45</v>
      </c>
      <c r="AG371" t="s">
        <v>46</v>
      </c>
      <c r="AH371" t="s">
        <v>61</v>
      </c>
      <c r="AI371" t="s">
        <v>48</v>
      </c>
      <c r="AJ371" t="s">
        <v>62</v>
      </c>
      <c r="AK371" t="s">
        <v>63</v>
      </c>
      <c r="AL371" t="s">
        <v>376</v>
      </c>
      <c r="AM371" t="s">
        <v>46</v>
      </c>
      <c r="AN371" t="s">
        <v>60</v>
      </c>
      <c r="AO371" t="s">
        <v>62</v>
      </c>
      <c r="AP371" t="s">
        <v>692</v>
      </c>
      <c r="AQ371" t="s">
        <v>66</v>
      </c>
      <c r="AR371" t="s">
        <v>67</v>
      </c>
    </row>
    <row r="372" spans="1:44">
      <c r="A372" s="1">
        <v>45427</v>
      </c>
      <c r="B372" s="2">
        <v>0.25068287037037035</v>
      </c>
      <c r="C372" t="s">
        <v>44</v>
      </c>
      <c r="D372" t="s">
        <v>45</v>
      </c>
      <c r="E372">
        <v>0.68799999999999994</v>
      </c>
      <c r="F372" t="s">
        <v>46</v>
      </c>
      <c r="G372" t="s">
        <v>47</v>
      </c>
      <c r="H372" t="s">
        <v>45</v>
      </c>
      <c r="I372">
        <v>0.31069999999999998</v>
      </c>
      <c r="J372" t="s">
        <v>46</v>
      </c>
      <c r="K372" t="s">
        <v>48</v>
      </c>
      <c r="L372" t="s">
        <v>49</v>
      </c>
      <c r="M372" t="s">
        <v>50</v>
      </c>
      <c r="N372" t="s">
        <v>51</v>
      </c>
      <c r="O372">
        <v>3.45</v>
      </c>
      <c r="P372">
        <v>8.26</v>
      </c>
      <c r="Q372" t="s">
        <v>46</v>
      </c>
      <c r="R372" t="s">
        <v>52</v>
      </c>
      <c r="S372" t="s">
        <v>53</v>
      </c>
      <c r="T372" t="s">
        <v>46</v>
      </c>
      <c r="U372" t="s">
        <v>54</v>
      </c>
      <c r="V372" t="s">
        <v>55</v>
      </c>
      <c r="W372" t="s">
        <v>195</v>
      </c>
      <c r="X372" t="s">
        <v>333</v>
      </c>
      <c r="Y372">
        <v>1.36</v>
      </c>
      <c r="Z372" t="s">
        <v>46</v>
      </c>
      <c r="AA372" t="s">
        <v>58</v>
      </c>
      <c r="AB372" t="s">
        <v>59</v>
      </c>
      <c r="AC372">
        <v>283</v>
      </c>
      <c r="AD372" t="s">
        <v>46</v>
      </c>
      <c r="AE372" t="s">
        <v>60</v>
      </c>
      <c r="AF372" t="s">
        <v>45</v>
      </c>
      <c r="AG372" t="s">
        <v>46</v>
      </c>
      <c r="AH372" t="s">
        <v>61</v>
      </c>
      <c r="AI372" t="s">
        <v>48</v>
      </c>
      <c r="AJ372" t="s">
        <v>62</v>
      </c>
      <c r="AK372" t="s">
        <v>63</v>
      </c>
      <c r="AL372" t="s">
        <v>376</v>
      </c>
      <c r="AM372" t="s">
        <v>46</v>
      </c>
      <c r="AN372" t="s">
        <v>60</v>
      </c>
      <c r="AO372" t="s">
        <v>62</v>
      </c>
      <c r="AP372" t="s">
        <v>693</v>
      </c>
      <c r="AQ372" t="s">
        <v>66</v>
      </c>
      <c r="AR372" t="s">
        <v>67</v>
      </c>
    </row>
    <row r="373" spans="1:44">
      <c r="A373" s="1">
        <v>45427</v>
      </c>
      <c r="B373" s="2">
        <v>0.25072916666666667</v>
      </c>
      <c r="C373" t="s">
        <v>44</v>
      </c>
      <c r="D373" t="s">
        <v>45</v>
      </c>
      <c r="E373">
        <v>0.52900000000000003</v>
      </c>
      <c r="F373" t="s">
        <v>46</v>
      </c>
      <c r="G373" t="s">
        <v>47</v>
      </c>
      <c r="H373" t="s">
        <v>45</v>
      </c>
      <c r="I373">
        <v>0.31069999999999998</v>
      </c>
      <c r="J373" t="s">
        <v>46</v>
      </c>
      <c r="K373" t="s">
        <v>48</v>
      </c>
      <c r="L373" t="s">
        <v>49</v>
      </c>
      <c r="M373" t="s">
        <v>50</v>
      </c>
      <c r="N373" t="s">
        <v>51</v>
      </c>
      <c r="O373">
        <v>3.45</v>
      </c>
      <c r="P373">
        <v>8.26</v>
      </c>
      <c r="Q373" t="s">
        <v>46</v>
      </c>
      <c r="R373" t="s">
        <v>52</v>
      </c>
      <c r="S373" t="s">
        <v>53</v>
      </c>
      <c r="T373" t="s">
        <v>46</v>
      </c>
      <c r="U373" t="s">
        <v>54</v>
      </c>
      <c r="V373" t="s">
        <v>55</v>
      </c>
      <c r="W373" t="s">
        <v>112</v>
      </c>
      <c r="X373" t="s">
        <v>340</v>
      </c>
      <c r="Y373">
        <v>1.36</v>
      </c>
      <c r="Z373" t="s">
        <v>46</v>
      </c>
      <c r="AA373" t="s">
        <v>58</v>
      </c>
      <c r="AB373" t="s">
        <v>59</v>
      </c>
      <c r="AC373">
        <v>282</v>
      </c>
      <c r="AD373" t="s">
        <v>46</v>
      </c>
      <c r="AE373" t="s">
        <v>60</v>
      </c>
      <c r="AF373" t="s">
        <v>45</v>
      </c>
      <c r="AG373" t="s">
        <v>46</v>
      </c>
      <c r="AH373" t="s">
        <v>61</v>
      </c>
      <c r="AI373" t="s">
        <v>48</v>
      </c>
      <c r="AJ373" t="s">
        <v>62</v>
      </c>
      <c r="AK373" t="s">
        <v>63</v>
      </c>
      <c r="AL373" t="s">
        <v>376</v>
      </c>
      <c r="AM373" t="s">
        <v>46</v>
      </c>
      <c r="AN373" t="s">
        <v>60</v>
      </c>
      <c r="AO373" t="s">
        <v>62</v>
      </c>
      <c r="AP373" t="s">
        <v>694</v>
      </c>
      <c r="AQ373" t="s">
        <v>66</v>
      </c>
      <c r="AR373" t="s">
        <v>67</v>
      </c>
    </row>
    <row r="374" spans="1:44">
      <c r="A374" s="1">
        <v>45427</v>
      </c>
      <c r="B374" s="2">
        <v>0.25077546296296294</v>
      </c>
      <c r="C374" t="s">
        <v>44</v>
      </c>
      <c r="D374" t="s">
        <v>45</v>
      </c>
      <c r="E374">
        <v>0.55600000000000005</v>
      </c>
      <c r="F374" t="s">
        <v>46</v>
      </c>
      <c r="G374" t="s">
        <v>47</v>
      </c>
      <c r="H374" t="s">
        <v>45</v>
      </c>
      <c r="I374">
        <v>0.31059999999999999</v>
      </c>
      <c r="J374" t="s">
        <v>46</v>
      </c>
      <c r="K374" t="s">
        <v>48</v>
      </c>
      <c r="L374" t="s">
        <v>49</v>
      </c>
      <c r="M374" t="s">
        <v>50</v>
      </c>
      <c r="N374" t="s">
        <v>51</v>
      </c>
      <c r="O374">
        <v>3.45</v>
      </c>
      <c r="P374">
        <v>8.26</v>
      </c>
      <c r="Q374" t="s">
        <v>46</v>
      </c>
      <c r="R374" t="s">
        <v>52</v>
      </c>
      <c r="S374" t="s">
        <v>53</v>
      </c>
      <c r="T374" t="s">
        <v>46</v>
      </c>
      <c r="U374" t="s">
        <v>54</v>
      </c>
      <c r="V374" t="s">
        <v>55</v>
      </c>
      <c r="W374" t="s">
        <v>112</v>
      </c>
      <c r="X374" t="s">
        <v>340</v>
      </c>
      <c r="Y374">
        <v>1.36</v>
      </c>
      <c r="Z374" t="s">
        <v>46</v>
      </c>
      <c r="AA374" t="s">
        <v>58</v>
      </c>
      <c r="AB374" t="s">
        <v>59</v>
      </c>
      <c r="AC374">
        <v>282</v>
      </c>
      <c r="AD374" t="s">
        <v>46</v>
      </c>
      <c r="AE374" t="s">
        <v>60</v>
      </c>
      <c r="AF374" t="s">
        <v>45</v>
      </c>
      <c r="AG374" t="s">
        <v>46</v>
      </c>
      <c r="AH374" t="s">
        <v>61</v>
      </c>
      <c r="AI374" t="s">
        <v>48</v>
      </c>
      <c r="AJ374" t="s">
        <v>62</v>
      </c>
      <c r="AK374" t="s">
        <v>63</v>
      </c>
      <c r="AL374" t="s">
        <v>376</v>
      </c>
      <c r="AM374" t="s">
        <v>46</v>
      </c>
      <c r="AN374" t="s">
        <v>60</v>
      </c>
      <c r="AO374" t="s">
        <v>62</v>
      </c>
      <c r="AP374" t="s">
        <v>695</v>
      </c>
      <c r="AQ374" t="s">
        <v>66</v>
      </c>
      <c r="AR374" t="s">
        <v>67</v>
      </c>
    </row>
    <row r="375" spans="1:44">
      <c r="A375" s="1">
        <v>45427</v>
      </c>
      <c r="B375" s="2">
        <v>0.25083333333333335</v>
      </c>
      <c r="C375" t="s">
        <v>44</v>
      </c>
      <c r="D375" t="s">
        <v>45</v>
      </c>
      <c r="E375">
        <v>0.76500000000000001</v>
      </c>
      <c r="F375" t="s">
        <v>46</v>
      </c>
      <c r="G375" t="s">
        <v>47</v>
      </c>
      <c r="H375" t="s">
        <v>45</v>
      </c>
      <c r="I375">
        <v>0.31069999999999998</v>
      </c>
      <c r="J375" t="s">
        <v>46</v>
      </c>
      <c r="K375" t="s">
        <v>48</v>
      </c>
      <c r="L375" t="s">
        <v>49</v>
      </c>
      <c r="M375" t="s">
        <v>50</v>
      </c>
      <c r="N375" t="s">
        <v>51</v>
      </c>
      <c r="O375">
        <v>3.45</v>
      </c>
      <c r="P375">
        <v>8.26</v>
      </c>
      <c r="Q375" t="s">
        <v>46</v>
      </c>
      <c r="R375" t="s">
        <v>52</v>
      </c>
      <c r="S375" t="s">
        <v>53</v>
      </c>
      <c r="T375" t="s">
        <v>46</v>
      </c>
      <c r="U375" t="s">
        <v>54</v>
      </c>
      <c r="V375" t="s">
        <v>55</v>
      </c>
      <c r="W375" t="s">
        <v>154</v>
      </c>
      <c r="X375" t="s">
        <v>292</v>
      </c>
      <c r="Y375">
        <v>1.36</v>
      </c>
      <c r="Z375" t="s">
        <v>46</v>
      </c>
      <c r="AA375" t="s">
        <v>58</v>
      </c>
      <c r="AB375" t="s">
        <v>59</v>
      </c>
      <c r="AC375">
        <v>282</v>
      </c>
      <c r="AD375" t="s">
        <v>46</v>
      </c>
      <c r="AE375" t="s">
        <v>60</v>
      </c>
      <c r="AF375" t="s">
        <v>45</v>
      </c>
      <c r="AG375" t="s">
        <v>46</v>
      </c>
      <c r="AH375" t="s">
        <v>61</v>
      </c>
      <c r="AI375" t="s">
        <v>48</v>
      </c>
      <c r="AJ375" t="s">
        <v>62</v>
      </c>
      <c r="AK375" t="s">
        <v>63</v>
      </c>
      <c r="AL375" t="s">
        <v>376</v>
      </c>
      <c r="AM375" t="s">
        <v>46</v>
      </c>
      <c r="AN375" t="s">
        <v>60</v>
      </c>
      <c r="AO375" t="s">
        <v>62</v>
      </c>
      <c r="AP375" t="s">
        <v>696</v>
      </c>
      <c r="AQ375" t="s">
        <v>66</v>
      </c>
      <c r="AR375" t="s">
        <v>67</v>
      </c>
    </row>
    <row r="376" spans="1:44">
      <c r="A376" s="1">
        <v>45427</v>
      </c>
      <c r="B376" s="2">
        <v>0.25087962962962962</v>
      </c>
      <c r="C376" t="s">
        <v>44</v>
      </c>
      <c r="D376" t="s">
        <v>45</v>
      </c>
      <c r="E376">
        <v>0.79400000000000004</v>
      </c>
      <c r="F376" t="s">
        <v>46</v>
      </c>
      <c r="G376" t="s">
        <v>47</v>
      </c>
      <c r="H376" t="s">
        <v>45</v>
      </c>
      <c r="I376">
        <v>0.31069999999999998</v>
      </c>
      <c r="J376" t="s">
        <v>46</v>
      </c>
      <c r="K376" t="s">
        <v>48</v>
      </c>
      <c r="L376" t="s">
        <v>49</v>
      </c>
      <c r="M376" t="s">
        <v>50</v>
      </c>
      <c r="N376" t="s">
        <v>51</v>
      </c>
      <c r="O376">
        <v>3.45</v>
      </c>
      <c r="P376">
        <v>8.26</v>
      </c>
      <c r="Q376" t="s">
        <v>46</v>
      </c>
      <c r="R376" t="s">
        <v>52</v>
      </c>
      <c r="S376" t="s">
        <v>53</v>
      </c>
      <c r="T376" t="s">
        <v>46</v>
      </c>
      <c r="U376" t="s">
        <v>54</v>
      </c>
      <c r="V376" t="s">
        <v>55</v>
      </c>
      <c r="W376" t="s">
        <v>358</v>
      </c>
      <c r="X376" t="s">
        <v>292</v>
      </c>
      <c r="Y376">
        <v>1.36</v>
      </c>
      <c r="Z376" t="s">
        <v>46</v>
      </c>
      <c r="AA376" t="s">
        <v>58</v>
      </c>
      <c r="AB376" t="s">
        <v>59</v>
      </c>
      <c r="AC376">
        <v>284</v>
      </c>
      <c r="AD376" t="s">
        <v>46</v>
      </c>
      <c r="AE376" t="s">
        <v>60</v>
      </c>
      <c r="AF376" t="s">
        <v>45</v>
      </c>
      <c r="AG376" t="s">
        <v>46</v>
      </c>
      <c r="AH376" t="s">
        <v>61</v>
      </c>
      <c r="AI376" t="s">
        <v>48</v>
      </c>
      <c r="AJ376" t="s">
        <v>62</v>
      </c>
      <c r="AK376" t="s">
        <v>63</v>
      </c>
      <c r="AL376" t="s">
        <v>376</v>
      </c>
      <c r="AM376" t="s">
        <v>46</v>
      </c>
      <c r="AN376" t="s">
        <v>60</v>
      </c>
      <c r="AO376" t="s">
        <v>62</v>
      </c>
      <c r="AP376" t="s">
        <v>697</v>
      </c>
      <c r="AQ376" t="s">
        <v>66</v>
      </c>
      <c r="AR376" t="s">
        <v>67</v>
      </c>
    </row>
    <row r="377" spans="1:44">
      <c r="A377" s="1">
        <v>45427</v>
      </c>
      <c r="B377" s="2">
        <v>0.25092592592592594</v>
      </c>
      <c r="C377" t="s">
        <v>44</v>
      </c>
      <c r="D377" t="s">
        <v>45</v>
      </c>
      <c r="E377">
        <v>0.58799999999999997</v>
      </c>
      <c r="F377" t="s">
        <v>46</v>
      </c>
      <c r="G377" t="s">
        <v>47</v>
      </c>
      <c r="H377" t="s">
        <v>45</v>
      </c>
      <c r="I377">
        <v>0.31069999999999998</v>
      </c>
      <c r="J377" t="s">
        <v>46</v>
      </c>
      <c r="K377" t="s">
        <v>48</v>
      </c>
      <c r="L377" t="s">
        <v>49</v>
      </c>
      <c r="M377" t="s">
        <v>50</v>
      </c>
      <c r="N377" t="s">
        <v>51</v>
      </c>
      <c r="O377">
        <v>3.45</v>
      </c>
      <c r="P377">
        <v>8.26</v>
      </c>
      <c r="Q377" t="s">
        <v>46</v>
      </c>
      <c r="R377" t="s">
        <v>52</v>
      </c>
      <c r="S377" t="s">
        <v>53</v>
      </c>
      <c r="T377" t="s">
        <v>46</v>
      </c>
      <c r="U377" t="s">
        <v>54</v>
      </c>
      <c r="V377" t="s">
        <v>55</v>
      </c>
      <c r="W377" t="s">
        <v>380</v>
      </c>
      <c r="X377" t="s">
        <v>328</v>
      </c>
      <c r="Y377">
        <v>1.35</v>
      </c>
      <c r="Z377" t="s">
        <v>46</v>
      </c>
      <c r="AA377" t="s">
        <v>58</v>
      </c>
      <c r="AB377" t="s">
        <v>59</v>
      </c>
      <c r="AC377">
        <v>282</v>
      </c>
      <c r="AD377" t="s">
        <v>46</v>
      </c>
      <c r="AE377" t="s">
        <v>60</v>
      </c>
      <c r="AF377" t="s">
        <v>45</v>
      </c>
      <c r="AG377" t="s">
        <v>46</v>
      </c>
      <c r="AH377" t="s">
        <v>61</v>
      </c>
      <c r="AI377" t="s">
        <v>48</v>
      </c>
      <c r="AJ377" t="s">
        <v>62</v>
      </c>
      <c r="AK377" t="s">
        <v>63</v>
      </c>
      <c r="AL377" t="s">
        <v>376</v>
      </c>
      <c r="AM377" t="s">
        <v>46</v>
      </c>
      <c r="AN377" t="s">
        <v>60</v>
      </c>
      <c r="AO377" t="s">
        <v>62</v>
      </c>
      <c r="AP377" t="s">
        <v>698</v>
      </c>
      <c r="AQ377" t="s">
        <v>66</v>
      </c>
      <c r="AR377" t="s">
        <v>67</v>
      </c>
    </row>
    <row r="378" spans="1:44">
      <c r="A378" s="1">
        <v>45427</v>
      </c>
      <c r="B378" s="2">
        <v>0.25097222222222221</v>
      </c>
      <c r="C378" t="s">
        <v>44</v>
      </c>
      <c r="D378" t="s">
        <v>45</v>
      </c>
      <c r="E378">
        <v>0.68799999999999994</v>
      </c>
      <c r="F378" t="s">
        <v>46</v>
      </c>
      <c r="G378" t="s">
        <v>47</v>
      </c>
      <c r="H378" t="s">
        <v>45</v>
      </c>
      <c r="I378">
        <v>0.31059999999999999</v>
      </c>
      <c r="J378" t="s">
        <v>46</v>
      </c>
      <c r="K378" t="s">
        <v>48</v>
      </c>
      <c r="L378" t="s">
        <v>49</v>
      </c>
      <c r="M378" t="s">
        <v>50</v>
      </c>
      <c r="N378" t="s">
        <v>51</v>
      </c>
      <c r="O378">
        <v>3.45</v>
      </c>
      <c r="P378">
        <v>8.26</v>
      </c>
      <c r="Q378" t="s">
        <v>46</v>
      </c>
      <c r="R378" t="s">
        <v>52</v>
      </c>
      <c r="S378" t="s">
        <v>53</v>
      </c>
      <c r="T378" t="s">
        <v>46</v>
      </c>
      <c r="U378" t="s">
        <v>54</v>
      </c>
      <c r="V378" t="s">
        <v>55</v>
      </c>
      <c r="W378" t="s">
        <v>88</v>
      </c>
      <c r="X378" t="s">
        <v>68</v>
      </c>
      <c r="Y378">
        <v>1.35</v>
      </c>
      <c r="Z378" t="s">
        <v>46</v>
      </c>
      <c r="AA378" t="s">
        <v>58</v>
      </c>
      <c r="AB378" t="s">
        <v>59</v>
      </c>
      <c r="AC378">
        <v>282</v>
      </c>
      <c r="AD378" t="s">
        <v>46</v>
      </c>
      <c r="AE378" t="s">
        <v>60</v>
      </c>
      <c r="AF378" t="s">
        <v>45</v>
      </c>
      <c r="AG378" t="s">
        <v>46</v>
      </c>
      <c r="AH378" t="s">
        <v>61</v>
      </c>
      <c r="AI378" t="s">
        <v>48</v>
      </c>
      <c r="AJ378" t="s">
        <v>62</v>
      </c>
      <c r="AK378" t="s">
        <v>63</v>
      </c>
      <c r="AL378" t="s">
        <v>376</v>
      </c>
      <c r="AM378" t="s">
        <v>46</v>
      </c>
      <c r="AN378" t="s">
        <v>60</v>
      </c>
      <c r="AO378" t="s">
        <v>62</v>
      </c>
      <c r="AP378" t="s">
        <v>699</v>
      </c>
      <c r="AQ378" t="s">
        <v>66</v>
      </c>
      <c r="AR378" t="s">
        <v>67</v>
      </c>
    </row>
    <row r="379" spans="1:44">
      <c r="A379" s="1">
        <v>45427</v>
      </c>
      <c r="B379" s="2">
        <v>0.25103009259259257</v>
      </c>
      <c r="C379" t="s">
        <v>44</v>
      </c>
      <c r="D379" t="s">
        <v>45</v>
      </c>
      <c r="E379">
        <v>0.63600000000000001</v>
      </c>
      <c r="F379" t="s">
        <v>46</v>
      </c>
      <c r="G379" t="s">
        <v>47</v>
      </c>
      <c r="H379" t="s">
        <v>45</v>
      </c>
      <c r="I379">
        <v>0.31080000000000002</v>
      </c>
      <c r="J379" t="s">
        <v>46</v>
      </c>
      <c r="K379" t="s">
        <v>48</v>
      </c>
      <c r="L379" t="s">
        <v>49</v>
      </c>
      <c r="M379" t="s">
        <v>50</v>
      </c>
      <c r="N379" t="s">
        <v>51</v>
      </c>
      <c r="O379">
        <v>3.45</v>
      </c>
      <c r="P379">
        <v>8.26</v>
      </c>
      <c r="Q379" t="s">
        <v>46</v>
      </c>
      <c r="R379" t="s">
        <v>52</v>
      </c>
      <c r="S379" t="s">
        <v>53</v>
      </c>
      <c r="T379" t="s">
        <v>46</v>
      </c>
      <c r="U379" t="s">
        <v>54</v>
      </c>
      <c r="V379" t="s">
        <v>55</v>
      </c>
      <c r="W379" t="s">
        <v>350</v>
      </c>
      <c r="X379" t="s">
        <v>68</v>
      </c>
      <c r="Y379">
        <v>1.35</v>
      </c>
      <c r="Z379" t="s">
        <v>46</v>
      </c>
      <c r="AA379" t="s">
        <v>58</v>
      </c>
      <c r="AB379" t="s">
        <v>59</v>
      </c>
      <c r="AC379">
        <v>282</v>
      </c>
      <c r="AD379" t="s">
        <v>46</v>
      </c>
      <c r="AE379" t="s">
        <v>60</v>
      </c>
      <c r="AF379" t="s">
        <v>45</v>
      </c>
      <c r="AG379" t="s">
        <v>46</v>
      </c>
      <c r="AH379" t="s">
        <v>61</v>
      </c>
      <c r="AI379" t="s">
        <v>48</v>
      </c>
      <c r="AJ379" t="s">
        <v>62</v>
      </c>
      <c r="AK379" t="s">
        <v>63</v>
      </c>
      <c r="AL379" t="s">
        <v>376</v>
      </c>
      <c r="AM379" t="s">
        <v>46</v>
      </c>
      <c r="AN379" t="s">
        <v>60</v>
      </c>
      <c r="AO379" t="s">
        <v>62</v>
      </c>
      <c r="AP379" t="s">
        <v>700</v>
      </c>
      <c r="AQ379" t="s">
        <v>66</v>
      </c>
      <c r="AR379" t="s">
        <v>67</v>
      </c>
    </row>
    <row r="380" spans="1:44">
      <c r="A380" s="1">
        <v>45427</v>
      </c>
      <c r="B380" s="2">
        <v>0.25107638888888889</v>
      </c>
      <c r="C380" t="s">
        <v>44</v>
      </c>
      <c r="D380" t="s">
        <v>45</v>
      </c>
      <c r="E380">
        <v>0.438</v>
      </c>
      <c r="F380" t="s">
        <v>46</v>
      </c>
      <c r="G380" t="s">
        <v>47</v>
      </c>
      <c r="H380" t="s">
        <v>45</v>
      </c>
      <c r="I380">
        <v>0.31090000000000001</v>
      </c>
      <c r="J380" t="s">
        <v>46</v>
      </c>
      <c r="K380" t="s">
        <v>48</v>
      </c>
      <c r="L380" t="s">
        <v>49</v>
      </c>
      <c r="M380" t="s">
        <v>50</v>
      </c>
      <c r="N380" t="s">
        <v>51</v>
      </c>
      <c r="O380">
        <v>3.45</v>
      </c>
      <c r="P380">
        <v>8.26</v>
      </c>
      <c r="Q380" t="s">
        <v>46</v>
      </c>
      <c r="R380" t="s">
        <v>52</v>
      </c>
      <c r="S380" t="s">
        <v>53</v>
      </c>
      <c r="T380" t="s">
        <v>46</v>
      </c>
      <c r="U380" t="s">
        <v>54</v>
      </c>
      <c r="V380" t="s">
        <v>55</v>
      </c>
      <c r="W380" t="s">
        <v>68</v>
      </c>
      <c r="X380" t="s">
        <v>340</v>
      </c>
      <c r="Y380">
        <v>1.36</v>
      </c>
      <c r="Z380" t="s">
        <v>46</v>
      </c>
      <c r="AA380" t="s">
        <v>58</v>
      </c>
      <c r="AB380" t="s">
        <v>59</v>
      </c>
      <c r="AC380">
        <v>282</v>
      </c>
      <c r="AD380" t="s">
        <v>46</v>
      </c>
      <c r="AE380" t="s">
        <v>60</v>
      </c>
      <c r="AF380" t="s">
        <v>45</v>
      </c>
      <c r="AG380" t="s">
        <v>46</v>
      </c>
      <c r="AH380" t="s">
        <v>61</v>
      </c>
      <c r="AI380" t="s">
        <v>48</v>
      </c>
      <c r="AJ380" t="s">
        <v>62</v>
      </c>
      <c r="AK380" t="s">
        <v>63</v>
      </c>
      <c r="AL380" t="s">
        <v>376</v>
      </c>
      <c r="AM380" t="s">
        <v>46</v>
      </c>
      <c r="AN380" t="s">
        <v>60</v>
      </c>
      <c r="AO380" t="s">
        <v>62</v>
      </c>
      <c r="AP380" t="s">
        <v>701</v>
      </c>
      <c r="AQ380" t="s">
        <v>66</v>
      </c>
      <c r="AR380" t="s">
        <v>67</v>
      </c>
    </row>
    <row r="381" spans="1:44">
      <c r="A381" s="1">
        <v>45427</v>
      </c>
      <c r="B381" s="2">
        <v>0.25112268518518521</v>
      </c>
      <c r="C381" t="s">
        <v>44</v>
      </c>
      <c r="D381" t="s">
        <v>45</v>
      </c>
      <c r="E381">
        <v>0.75800000000000001</v>
      </c>
      <c r="F381" t="s">
        <v>46</v>
      </c>
      <c r="G381" t="s">
        <v>47</v>
      </c>
      <c r="H381" t="s">
        <v>45</v>
      </c>
      <c r="I381">
        <v>0.31090000000000001</v>
      </c>
      <c r="J381" t="s">
        <v>46</v>
      </c>
      <c r="K381" t="s">
        <v>48</v>
      </c>
      <c r="L381" t="s">
        <v>49</v>
      </c>
      <c r="M381" t="s">
        <v>50</v>
      </c>
      <c r="N381" t="s">
        <v>51</v>
      </c>
      <c r="O381">
        <v>3.45</v>
      </c>
      <c r="P381">
        <v>8.26</v>
      </c>
      <c r="Q381" t="s">
        <v>46</v>
      </c>
      <c r="R381" t="s">
        <v>52</v>
      </c>
      <c r="S381" t="s">
        <v>53</v>
      </c>
      <c r="T381" t="s">
        <v>46</v>
      </c>
      <c r="U381" t="s">
        <v>54</v>
      </c>
      <c r="V381" t="s">
        <v>55</v>
      </c>
      <c r="W381" t="s">
        <v>68</v>
      </c>
      <c r="X381" t="s">
        <v>340</v>
      </c>
      <c r="Y381">
        <v>1.36</v>
      </c>
      <c r="Z381" t="s">
        <v>46</v>
      </c>
      <c r="AA381" t="s">
        <v>58</v>
      </c>
      <c r="AB381" t="s">
        <v>59</v>
      </c>
      <c r="AC381">
        <v>282</v>
      </c>
      <c r="AD381" t="s">
        <v>46</v>
      </c>
      <c r="AE381" t="s">
        <v>60</v>
      </c>
      <c r="AF381" t="s">
        <v>45</v>
      </c>
      <c r="AG381" t="s">
        <v>46</v>
      </c>
      <c r="AH381" t="s">
        <v>61</v>
      </c>
      <c r="AI381" t="s">
        <v>48</v>
      </c>
      <c r="AJ381" t="s">
        <v>62</v>
      </c>
      <c r="AK381" t="s">
        <v>63</v>
      </c>
      <c r="AL381" t="s">
        <v>376</v>
      </c>
      <c r="AM381" t="s">
        <v>46</v>
      </c>
      <c r="AN381" t="s">
        <v>60</v>
      </c>
      <c r="AO381" t="s">
        <v>62</v>
      </c>
      <c r="AP381" t="s">
        <v>702</v>
      </c>
      <c r="AQ381" t="s">
        <v>66</v>
      </c>
      <c r="AR381" t="s">
        <v>67</v>
      </c>
    </row>
    <row r="382" spans="1:44">
      <c r="A382" s="1">
        <v>45427</v>
      </c>
      <c r="B382" s="2">
        <v>0.25116898148148148</v>
      </c>
      <c r="C382" t="s">
        <v>44</v>
      </c>
      <c r="D382" t="s">
        <v>45</v>
      </c>
      <c r="E382">
        <v>0.57599999999999996</v>
      </c>
      <c r="F382" t="s">
        <v>46</v>
      </c>
      <c r="G382" t="s">
        <v>47</v>
      </c>
      <c r="H382" t="s">
        <v>45</v>
      </c>
      <c r="I382">
        <v>0.30980000000000002</v>
      </c>
      <c r="J382" t="s">
        <v>46</v>
      </c>
      <c r="K382" t="s">
        <v>48</v>
      </c>
      <c r="L382" t="s">
        <v>49</v>
      </c>
      <c r="M382" t="s">
        <v>50</v>
      </c>
      <c r="N382" t="s">
        <v>51</v>
      </c>
      <c r="O382">
        <v>3.45</v>
      </c>
      <c r="P382">
        <v>8.26</v>
      </c>
      <c r="Q382" t="s">
        <v>46</v>
      </c>
      <c r="R382" t="s">
        <v>52</v>
      </c>
      <c r="S382" t="s">
        <v>53</v>
      </c>
      <c r="T382" t="s">
        <v>46</v>
      </c>
      <c r="U382" t="s">
        <v>54</v>
      </c>
      <c r="V382" t="s">
        <v>55</v>
      </c>
      <c r="W382" t="s">
        <v>195</v>
      </c>
      <c r="X382" t="s">
        <v>292</v>
      </c>
      <c r="Y382">
        <v>1.36</v>
      </c>
      <c r="Z382" t="s">
        <v>46</v>
      </c>
      <c r="AA382" t="s">
        <v>58</v>
      </c>
      <c r="AB382" t="s">
        <v>59</v>
      </c>
      <c r="AC382">
        <v>282</v>
      </c>
      <c r="AD382" t="s">
        <v>46</v>
      </c>
      <c r="AE382" t="s">
        <v>60</v>
      </c>
      <c r="AF382" t="s">
        <v>45</v>
      </c>
      <c r="AG382" t="s">
        <v>46</v>
      </c>
      <c r="AH382" t="s">
        <v>61</v>
      </c>
      <c r="AI382" t="s">
        <v>48</v>
      </c>
      <c r="AJ382" t="s">
        <v>62</v>
      </c>
      <c r="AK382" t="s">
        <v>63</v>
      </c>
      <c r="AL382" t="s">
        <v>376</v>
      </c>
      <c r="AM382" t="s">
        <v>46</v>
      </c>
      <c r="AN382" t="s">
        <v>60</v>
      </c>
      <c r="AO382" t="s">
        <v>62</v>
      </c>
      <c r="AP382" t="s">
        <v>703</v>
      </c>
      <c r="AQ382" t="s">
        <v>66</v>
      </c>
      <c r="AR382" t="s">
        <v>67</v>
      </c>
    </row>
    <row r="383" spans="1:44">
      <c r="A383" s="1">
        <v>45427</v>
      </c>
      <c r="B383" s="2">
        <v>0.25122685185185184</v>
      </c>
      <c r="C383" t="s">
        <v>44</v>
      </c>
      <c r="D383" t="s">
        <v>45</v>
      </c>
      <c r="E383">
        <v>0.5</v>
      </c>
      <c r="F383" t="s">
        <v>46</v>
      </c>
      <c r="G383" t="s">
        <v>47</v>
      </c>
      <c r="H383" t="s">
        <v>45</v>
      </c>
      <c r="I383">
        <v>0.311</v>
      </c>
      <c r="J383" t="s">
        <v>46</v>
      </c>
      <c r="K383" t="s">
        <v>48</v>
      </c>
      <c r="L383" t="s">
        <v>49</v>
      </c>
      <c r="M383" t="s">
        <v>50</v>
      </c>
      <c r="N383" t="s">
        <v>51</v>
      </c>
      <c r="O383">
        <v>3.45</v>
      </c>
      <c r="P383">
        <v>8.26</v>
      </c>
      <c r="Q383" t="s">
        <v>46</v>
      </c>
      <c r="R383" t="s">
        <v>52</v>
      </c>
      <c r="S383" t="s">
        <v>53</v>
      </c>
      <c r="T383" t="s">
        <v>46</v>
      </c>
      <c r="U383" t="s">
        <v>54</v>
      </c>
      <c r="V383" t="s">
        <v>55</v>
      </c>
      <c r="W383" t="s">
        <v>112</v>
      </c>
      <c r="X383" t="s">
        <v>328</v>
      </c>
      <c r="Y383">
        <v>1.36</v>
      </c>
      <c r="Z383" t="s">
        <v>46</v>
      </c>
      <c r="AA383" t="s">
        <v>58</v>
      </c>
      <c r="AB383" t="s">
        <v>59</v>
      </c>
      <c r="AC383">
        <v>282</v>
      </c>
      <c r="AD383" t="s">
        <v>46</v>
      </c>
      <c r="AE383" t="s">
        <v>60</v>
      </c>
      <c r="AF383" t="s">
        <v>45</v>
      </c>
      <c r="AG383" t="s">
        <v>46</v>
      </c>
      <c r="AH383" t="s">
        <v>61</v>
      </c>
      <c r="AI383" t="s">
        <v>48</v>
      </c>
      <c r="AJ383" t="s">
        <v>62</v>
      </c>
      <c r="AK383" t="s">
        <v>63</v>
      </c>
      <c r="AL383" t="s">
        <v>376</v>
      </c>
      <c r="AM383" t="s">
        <v>46</v>
      </c>
      <c r="AN383" t="s">
        <v>60</v>
      </c>
      <c r="AO383" t="s">
        <v>62</v>
      </c>
      <c r="AP383" t="s">
        <v>704</v>
      </c>
      <c r="AQ383" t="s">
        <v>66</v>
      </c>
      <c r="AR383" t="s">
        <v>67</v>
      </c>
    </row>
    <row r="384" spans="1:44">
      <c r="A384" s="1">
        <v>45427</v>
      </c>
      <c r="B384" s="2">
        <v>0.25127314814814816</v>
      </c>
      <c r="C384" t="s">
        <v>44</v>
      </c>
      <c r="D384" t="s">
        <v>45</v>
      </c>
      <c r="E384">
        <v>0.75</v>
      </c>
      <c r="F384" t="s">
        <v>46</v>
      </c>
      <c r="G384" t="s">
        <v>47</v>
      </c>
      <c r="H384" t="s">
        <v>45</v>
      </c>
      <c r="I384">
        <v>0.31090000000000001</v>
      </c>
      <c r="J384" t="s">
        <v>46</v>
      </c>
      <c r="K384" t="s">
        <v>48</v>
      </c>
      <c r="L384" t="s">
        <v>49</v>
      </c>
      <c r="M384" t="s">
        <v>50</v>
      </c>
      <c r="N384" t="s">
        <v>51</v>
      </c>
      <c r="O384">
        <v>3.45</v>
      </c>
      <c r="P384">
        <v>8.26</v>
      </c>
      <c r="Q384" t="s">
        <v>46</v>
      </c>
      <c r="R384" t="s">
        <v>52</v>
      </c>
      <c r="S384" t="s">
        <v>53</v>
      </c>
      <c r="T384" t="s">
        <v>46</v>
      </c>
      <c r="U384" t="s">
        <v>54</v>
      </c>
      <c r="V384" t="s">
        <v>55</v>
      </c>
      <c r="W384" t="s">
        <v>154</v>
      </c>
      <c r="X384" t="s">
        <v>328</v>
      </c>
      <c r="Y384">
        <v>1.35</v>
      </c>
      <c r="Z384" t="s">
        <v>46</v>
      </c>
      <c r="AA384" t="s">
        <v>58</v>
      </c>
      <c r="AB384" t="s">
        <v>59</v>
      </c>
      <c r="AC384">
        <v>283</v>
      </c>
      <c r="AD384" t="s">
        <v>46</v>
      </c>
      <c r="AE384" t="s">
        <v>60</v>
      </c>
      <c r="AF384" t="s">
        <v>45</v>
      </c>
      <c r="AG384" t="s">
        <v>46</v>
      </c>
      <c r="AH384" t="s">
        <v>61</v>
      </c>
      <c r="AI384" t="s">
        <v>48</v>
      </c>
      <c r="AJ384" t="s">
        <v>62</v>
      </c>
      <c r="AK384" t="s">
        <v>63</v>
      </c>
      <c r="AL384" t="s">
        <v>376</v>
      </c>
      <c r="AM384" t="s">
        <v>46</v>
      </c>
      <c r="AN384" t="s">
        <v>60</v>
      </c>
      <c r="AO384" t="s">
        <v>62</v>
      </c>
      <c r="AP384" t="s">
        <v>705</v>
      </c>
      <c r="AQ384" t="s">
        <v>66</v>
      </c>
      <c r="AR384" t="s">
        <v>67</v>
      </c>
    </row>
    <row r="385" spans="1:44">
      <c r="A385" s="1">
        <v>45427</v>
      </c>
      <c r="B385" s="2">
        <v>0.25131944444444443</v>
      </c>
      <c r="C385" t="s">
        <v>44</v>
      </c>
      <c r="D385" t="s">
        <v>45</v>
      </c>
      <c r="E385">
        <v>0.66700000000000004</v>
      </c>
      <c r="F385" t="s">
        <v>46</v>
      </c>
      <c r="G385" t="s">
        <v>47</v>
      </c>
      <c r="H385" t="s">
        <v>45</v>
      </c>
      <c r="I385">
        <v>0.31109999999999999</v>
      </c>
      <c r="J385" t="s">
        <v>46</v>
      </c>
      <c r="K385" t="s">
        <v>48</v>
      </c>
      <c r="L385" t="s">
        <v>49</v>
      </c>
      <c r="M385" t="s">
        <v>50</v>
      </c>
      <c r="N385" t="s">
        <v>51</v>
      </c>
      <c r="O385">
        <v>3.45</v>
      </c>
      <c r="P385">
        <v>8.26</v>
      </c>
      <c r="Q385" t="s">
        <v>46</v>
      </c>
      <c r="R385" t="s">
        <v>52</v>
      </c>
      <c r="S385" t="s">
        <v>53</v>
      </c>
      <c r="T385" t="s">
        <v>46</v>
      </c>
      <c r="U385" t="s">
        <v>54</v>
      </c>
      <c r="V385" t="s">
        <v>55</v>
      </c>
      <c r="W385" t="s">
        <v>358</v>
      </c>
      <c r="X385" t="s">
        <v>68</v>
      </c>
      <c r="Y385">
        <v>1.35</v>
      </c>
      <c r="Z385" t="s">
        <v>46</v>
      </c>
      <c r="AA385" t="s">
        <v>58</v>
      </c>
      <c r="AB385" t="s">
        <v>59</v>
      </c>
      <c r="AC385">
        <v>283</v>
      </c>
      <c r="AD385" t="s">
        <v>46</v>
      </c>
      <c r="AE385" t="s">
        <v>60</v>
      </c>
      <c r="AF385" t="s">
        <v>45</v>
      </c>
      <c r="AG385" t="s">
        <v>46</v>
      </c>
      <c r="AH385" t="s">
        <v>61</v>
      </c>
      <c r="AI385" t="s">
        <v>48</v>
      </c>
      <c r="AJ385" t="s">
        <v>62</v>
      </c>
      <c r="AK385" t="s">
        <v>63</v>
      </c>
      <c r="AL385" t="s">
        <v>376</v>
      </c>
      <c r="AM385" t="s">
        <v>46</v>
      </c>
      <c r="AN385" t="s">
        <v>60</v>
      </c>
      <c r="AO385" t="s">
        <v>62</v>
      </c>
      <c r="AP385" t="s">
        <v>706</v>
      </c>
      <c r="AQ385" t="s">
        <v>66</v>
      </c>
      <c r="AR385" t="s">
        <v>67</v>
      </c>
    </row>
    <row r="386" spans="1:44">
      <c r="A386" s="1">
        <v>45427</v>
      </c>
      <c r="B386" s="2">
        <v>0.25136574074074075</v>
      </c>
      <c r="C386" t="s">
        <v>44</v>
      </c>
      <c r="D386" t="s">
        <v>45</v>
      </c>
      <c r="E386">
        <v>0.53100000000000003</v>
      </c>
      <c r="F386" t="s">
        <v>46</v>
      </c>
      <c r="G386" t="s">
        <v>47</v>
      </c>
      <c r="H386" t="s">
        <v>45</v>
      </c>
      <c r="I386">
        <v>0.31119999999999998</v>
      </c>
      <c r="J386" t="s">
        <v>46</v>
      </c>
      <c r="K386" t="s">
        <v>48</v>
      </c>
      <c r="L386" t="s">
        <v>49</v>
      </c>
      <c r="M386" t="s">
        <v>50</v>
      </c>
      <c r="N386" t="s">
        <v>51</v>
      </c>
      <c r="O386">
        <v>3.45</v>
      </c>
      <c r="P386">
        <v>8.26</v>
      </c>
      <c r="Q386" t="s">
        <v>46</v>
      </c>
      <c r="R386" t="s">
        <v>52</v>
      </c>
      <c r="S386" t="s">
        <v>53</v>
      </c>
      <c r="T386" t="s">
        <v>46</v>
      </c>
      <c r="U386" t="s">
        <v>54</v>
      </c>
      <c r="V386" t="s">
        <v>55</v>
      </c>
      <c r="W386" t="s">
        <v>380</v>
      </c>
      <c r="X386" t="s">
        <v>68</v>
      </c>
      <c r="Y386">
        <v>1.35</v>
      </c>
      <c r="Z386" t="s">
        <v>46</v>
      </c>
      <c r="AA386" t="s">
        <v>58</v>
      </c>
      <c r="AB386" t="s">
        <v>59</v>
      </c>
      <c r="AC386">
        <v>283</v>
      </c>
      <c r="AD386" t="s">
        <v>46</v>
      </c>
      <c r="AE386" t="s">
        <v>60</v>
      </c>
      <c r="AF386" t="s">
        <v>45</v>
      </c>
      <c r="AG386" t="s">
        <v>46</v>
      </c>
      <c r="AH386" t="s">
        <v>61</v>
      </c>
      <c r="AI386" t="s">
        <v>48</v>
      </c>
      <c r="AJ386" t="s">
        <v>62</v>
      </c>
      <c r="AK386" t="s">
        <v>63</v>
      </c>
      <c r="AL386" t="s">
        <v>376</v>
      </c>
      <c r="AM386" t="s">
        <v>46</v>
      </c>
      <c r="AN386" t="s">
        <v>60</v>
      </c>
      <c r="AO386" t="s">
        <v>62</v>
      </c>
      <c r="AP386" t="s">
        <v>707</v>
      </c>
      <c r="AQ386" t="s">
        <v>66</v>
      </c>
      <c r="AR386" t="s">
        <v>67</v>
      </c>
    </row>
    <row r="387" spans="1:44">
      <c r="A387" s="1">
        <v>45427</v>
      </c>
      <c r="B387" s="2">
        <v>0.25141203703703702</v>
      </c>
      <c r="C387" t="s">
        <v>44</v>
      </c>
      <c r="D387" t="s">
        <v>45</v>
      </c>
      <c r="E387">
        <v>0.75800000000000001</v>
      </c>
      <c r="F387" t="s">
        <v>46</v>
      </c>
      <c r="G387" t="s">
        <v>47</v>
      </c>
      <c r="H387" t="s">
        <v>45</v>
      </c>
      <c r="I387">
        <v>0.31109999999999999</v>
      </c>
      <c r="J387" t="s">
        <v>46</v>
      </c>
      <c r="K387" t="s">
        <v>48</v>
      </c>
      <c r="L387" t="s">
        <v>49</v>
      </c>
      <c r="M387" t="s">
        <v>50</v>
      </c>
      <c r="N387" t="s">
        <v>51</v>
      </c>
      <c r="O387">
        <v>3.45</v>
      </c>
      <c r="P387">
        <v>8.26</v>
      </c>
      <c r="Q387" t="s">
        <v>46</v>
      </c>
      <c r="R387" t="s">
        <v>52</v>
      </c>
      <c r="S387" t="s">
        <v>53</v>
      </c>
      <c r="T387" t="s">
        <v>46</v>
      </c>
      <c r="U387" t="s">
        <v>54</v>
      </c>
      <c r="V387" t="s">
        <v>55</v>
      </c>
      <c r="W387" t="s">
        <v>380</v>
      </c>
      <c r="X387" t="s">
        <v>68</v>
      </c>
      <c r="Y387">
        <v>1.35</v>
      </c>
      <c r="Z387" t="s">
        <v>46</v>
      </c>
      <c r="AA387" t="s">
        <v>58</v>
      </c>
      <c r="AB387" t="s">
        <v>59</v>
      </c>
      <c r="AC387">
        <v>283</v>
      </c>
      <c r="AD387" t="s">
        <v>46</v>
      </c>
      <c r="AE387" t="s">
        <v>60</v>
      </c>
      <c r="AF387" t="s">
        <v>45</v>
      </c>
      <c r="AG387" t="s">
        <v>46</v>
      </c>
      <c r="AH387" t="s">
        <v>61</v>
      </c>
      <c r="AI387" t="s">
        <v>48</v>
      </c>
      <c r="AJ387" t="s">
        <v>62</v>
      </c>
      <c r="AK387" t="s">
        <v>63</v>
      </c>
      <c r="AL387" t="s">
        <v>376</v>
      </c>
      <c r="AM387" t="s">
        <v>46</v>
      </c>
      <c r="AN387" t="s">
        <v>60</v>
      </c>
      <c r="AO387" t="s">
        <v>62</v>
      </c>
      <c r="AP387" t="s">
        <v>708</v>
      </c>
      <c r="AQ387" t="s">
        <v>66</v>
      </c>
      <c r="AR387" t="s">
        <v>67</v>
      </c>
    </row>
    <row r="388" spans="1:44">
      <c r="A388" s="1">
        <v>45427</v>
      </c>
      <c r="B388" s="2">
        <v>0.25146990740740743</v>
      </c>
      <c r="C388" t="s">
        <v>44</v>
      </c>
      <c r="D388" t="s">
        <v>45</v>
      </c>
      <c r="E388">
        <v>0.47099999999999997</v>
      </c>
      <c r="F388" t="s">
        <v>46</v>
      </c>
      <c r="G388" t="s">
        <v>47</v>
      </c>
      <c r="H388" t="s">
        <v>45</v>
      </c>
      <c r="I388">
        <v>0.31119999999999998</v>
      </c>
      <c r="J388" t="s">
        <v>46</v>
      </c>
      <c r="K388" t="s">
        <v>48</v>
      </c>
      <c r="L388" t="s">
        <v>49</v>
      </c>
      <c r="M388" t="s">
        <v>50</v>
      </c>
      <c r="N388" t="s">
        <v>51</v>
      </c>
      <c r="O388">
        <v>3.45</v>
      </c>
      <c r="P388">
        <v>8.26</v>
      </c>
      <c r="Q388" t="s">
        <v>46</v>
      </c>
      <c r="R388" t="s">
        <v>52</v>
      </c>
      <c r="S388" t="s">
        <v>53</v>
      </c>
      <c r="T388" t="s">
        <v>46</v>
      </c>
      <c r="U388" t="s">
        <v>54</v>
      </c>
      <c r="V388" t="s">
        <v>55</v>
      </c>
      <c r="W388" t="s">
        <v>88</v>
      </c>
      <c r="X388" t="s">
        <v>82</v>
      </c>
      <c r="Y388">
        <v>1.35</v>
      </c>
      <c r="Z388" t="s">
        <v>46</v>
      </c>
      <c r="AA388" t="s">
        <v>58</v>
      </c>
      <c r="AB388" t="s">
        <v>59</v>
      </c>
      <c r="AC388">
        <v>283</v>
      </c>
      <c r="AD388" t="s">
        <v>46</v>
      </c>
      <c r="AE388" t="s">
        <v>60</v>
      </c>
      <c r="AF388" t="s">
        <v>45</v>
      </c>
      <c r="AG388" t="s">
        <v>46</v>
      </c>
      <c r="AH388" t="s">
        <v>61</v>
      </c>
      <c r="AI388" t="s">
        <v>48</v>
      </c>
      <c r="AJ388" t="s">
        <v>62</v>
      </c>
      <c r="AK388" t="s">
        <v>63</v>
      </c>
      <c r="AL388" t="s">
        <v>376</v>
      </c>
      <c r="AM388" t="s">
        <v>46</v>
      </c>
      <c r="AN388" t="s">
        <v>60</v>
      </c>
      <c r="AO388" t="s">
        <v>62</v>
      </c>
      <c r="AP388" t="s">
        <v>709</v>
      </c>
      <c r="AQ388" t="s">
        <v>66</v>
      </c>
      <c r="AR388" t="s">
        <v>67</v>
      </c>
    </row>
    <row r="389" spans="1:44">
      <c r="A389" s="1">
        <v>45427</v>
      </c>
      <c r="B389" s="2">
        <v>0.2515162037037037</v>
      </c>
      <c r="C389" t="s">
        <v>44</v>
      </c>
      <c r="D389" t="s">
        <v>45</v>
      </c>
      <c r="E389">
        <v>0.75800000000000001</v>
      </c>
      <c r="F389" t="s">
        <v>46</v>
      </c>
      <c r="G389" t="s">
        <v>47</v>
      </c>
      <c r="H389" t="s">
        <v>45</v>
      </c>
      <c r="I389">
        <v>0.311</v>
      </c>
      <c r="J389" t="s">
        <v>46</v>
      </c>
      <c r="K389" t="s">
        <v>48</v>
      </c>
      <c r="L389" t="s">
        <v>49</v>
      </c>
      <c r="M389" t="s">
        <v>50</v>
      </c>
      <c r="N389" t="s">
        <v>51</v>
      </c>
      <c r="O389">
        <v>3.45</v>
      </c>
      <c r="P389">
        <v>8.26</v>
      </c>
      <c r="Q389" t="s">
        <v>46</v>
      </c>
      <c r="R389" t="s">
        <v>52</v>
      </c>
      <c r="S389" t="s">
        <v>53</v>
      </c>
      <c r="T389" t="s">
        <v>46</v>
      </c>
      <c r="U389" t="s">
        <v>54</v>
      </c>
      <c r="V389" t="s">
        <v>55</v>
      </c>
      <c r="W389" t="s">
        <v>350</v>
      </c>
      <c r="X389" t="s">
        <v>82</v>
      </c>
      <c r="Y389">
        <v>1.35</v>
      </c>
      <c r="Z389" t="s">
        <v>46</v>
      </c>
      <c r="AA389" t="s">
        <v>58</v>
      </c>
      <c r="AB389" t="s">
        <v>59</v>
      </c>
      <c r="AC389">
        <v>284</v>
      </c>
      <c r="AD389" t="s">
        <v>46</v>
      </c>
      <c r="AE389" t="s">
        <v>60</v>
      </c>
      <c r="AF389" t="s">
        <v>45</v>
      </c>
      <c r="AG389" t="s">
        <v>46</v>
      </c>
      <c r="AH389" t="s">
        <v>61</v>
      </c>
      <c r="AI389" t="s">
        <v>48</v>
      </c>
      <c r="AJ389" t="s">
        <v>62</v>
      </c>
      <c r="AK389" t="s">
        <v>63</v>
      </c>
      <c r="AL389" t="s">
        <v>376</v>
      </c>
      <c r="AM389" t="s">
        <v>46</v>
      </c>
      <c r="AN389" t="s">
        <v>60</v>
      </c>
      <c r="AO389" t="s">
        <v>62</v>
      </c>
      <c r="AP389" t="s">
        <v>710</v>
      </c>
      <c r="AQ389" t="s">
        <v>66</v>
      </c>
      <c r="AR389" t="s">
        <v>67</v>
      </c>
    </row>
    <row r="390" spans="1:44">
      <c r="A390" s="1">
        <v>45427</v>
      </c>
      <c r="B390" s="2">
        <v>0.25156250000000002</v>
      </c>
      <c r="C390" t="s">
        <v>44</v>
      </c>
      <c r="D390" t="s">
        <v>45</v>
      </c>
      <c r="E390">
        <v>0.78800000000000003</v>
      </c>
      <c r="F390" t="s">
        <v>46</v>
      </c>
      <c r="G390" t="s">
        <v>47</v>
      </c>
      <c r="H390" t="s">
        <v>45</v>
      </c>
      <c r="I390">
        <v>0.311</v>
      </c>
      <c r="J390" t="s">
        <v>46</v>
      </c>
      <c r="K390" t="s">
        <v>48</v>
      </c>
      <c r="L390" t="s">
        <v>49</v>
      </c>
      <c r="M390" t="s">
        <v>50</v>
      </c>
      <c r="N390" t="s">
        <v>51</v>
      </c>
      <c r="O390">
        <v>3.45</v>
      </c>
      <c r="P390">
        <v>8.26</v>
      </c>
      <c r="Q390" t="s">
        <v>46</v>
      </c>
      <c r="R390" t="s">
        <v>52</v>
      </c>
      <c r="S390" t="s">
        <v>53</v>
      </c>
      <c r="T390" t="s">
        <v>46</v>
      </c>
      <c r="U390" t="s">
        <v>54</v>
      </c>
      <c r="V390" t="s">
        <v>55</v>
      </c>
      <c r="W390" t="s">
        <v>305</v>
      </c>
      <c r="X390" t="s">
        <v>330</v>
      </c>
      <c r="Y390">
        <v>1.34</v>
      </c>
      <c r="Z390" t="s">
        <v>46</v>
      </c>
      <c r="AA390" t="s">
        <v>58</v>
      </c>
      <c r="AB390" t="s">
        <v>59</v>
      </c>
      <c r="AC390">
        <v>283</v>
      </c>
      <c r="AD390" t="s">
        <v>46</v>
      </c>
      <c r="AE390" t="s">
        <v>60</v>
      </c>
      <c r="AF390" t="s">
        <v>45</v>
      </c>
      <c r="AG390" t="s">
        <v>46</v>
      </c>
      <c r="AH390" t="s">
        <v>61</v>
      </c>
      <c r="AI390" t="s">
        <v>48</v>
      </c>
      <c r="AJ390" t="s">
        <v>62</v>
      </c>
      <c r="AK390" t="s">
        <v>63</v>
      </c>
      <c r="AL390" t="s">
        <v>376</v>
      </c>
      <c r="AM390" t="s">
        <v>46</v>
      </c>
      <c r="AN390" t="s">
        <v>60</v>
      </c>
      <c r="AO390" t="s">
        <v>62</v>
      </c>
      <c r="AP390" t="s">
        <v>711</v>
      </c>
      <c r="AQ390" t="s">
        <v>66</v>
      </c>
      <c r="AR390" t="s">
        <v>67</v>
      </c>
    </row>
    <row r="391" spans="1:44">
      <c r="A391" s="1">
        <v>45427</v>
      </c>
      <c r="B391" s="2">
        <v>0.25160879629629629</v>
      </c>
      <c r="C391" t="s">
        <v>44</v>
      </c>
      <c r="D391" t="s">
        <v>45</v>
      </c>
      <c r="E391">
        <v>0.51500000000000001</v>
      </c>
      <c r="F391" t="s">
        <v>46</v>
      </c>
      <c r="G391" t="s">
        <v>47</v>
      </c>
      <c r="H391" t="s">
        <v>45</v>
      </c>
      <c r="I391">
        <v>0.31119999999999998</v>
      </c>
      <c r="J391" t="s">
        <v>46</v>
      </c>
      <c r="K391" t="s">
        <v>48</v>
      </c>
      <c r="L391" t="s">
        <v>49</v>
      </c>
      <c r="M391" t="s">
        <v>50</v>
      </c>
      <c r="N391" t="s">
        <v>51</v>
      </c>
      <c r="O391">
        <v>3.45</v>
      </c>
      <c r="P391">
        <v>8.26</v>
      </c>
      <c r="Q391" t="s">
        <v>46</v>
      </c>
      <c r="R391" t="s">
        <v>52</v>
      </c>
      <c r="S391" t="s">
        <v>53</v>
      </c>
      <c r="T391" t="s">
        <v>46</v>
      </c>
      <c r="U391" t="s">
        <v>54</v>
      </c>
      <c r="V391" t="s">
        <v>55</v>
      </c>
      <c r="W391" t="s">
        <v>116</v>
      </c>
      <c r="X391" t="s">
        <v>330</v>
      </c>
      <c r="Y391">
        <v>1.34</v>
      </c>
      <c r="Z391" t="s">
        <v>46</v>
      </c>
      <c r="AA391" t="s">
        <v>58</v>
      </c>
      <c r="AB391" t="s">
        <v>59</v>
      </c>
      <c r="AC391">
        <v>283</v>
      </c>
      <c r="AD391" t="s">
        <v>46</v>
      </c>
      <c r="AE391" t="s">
        <v>60</v>
      </c>
      <c r="AF391" t="s">
        <v>45</v>
      </c>
      <c r="AG391" t="s">
        <v>46</v>
      </c>
      <c r="AH391" t="s">
        <v>61</v>
      </c>
      <c r="AI391" t="s">
        <v>48</v>
      </c>
      <c r="AJ391" t="s">
        <v>62</v>
      </c>
      <c r="AK391" t="s">
        <v>63</v>
      </c>
      <c r="AL391" t="s">
        <v>376</v>
      </c>
      <c r="AM391" t="s">
        <v>46</v>
      </c>
      <c r="AN391" t="s">
        <v>60</v>
      </c>
      <c r="AO391" t="s">
        <v>62</v>
      </c>
      <c r="AP391" t="s">
        <v>712</v>
      </c>
      <c r="AQ391" t="s">
        <v>66</v>
      </c>
      <c r="AR391" t="s">
        <v>67</v>
      </c>
    </row>
    <row r="392" spans="1:44">
      <c r="A392" s="1">
        <v>45427</v>
      </c>
      <c r="B392" s="2">
        <v>0.25166666666666665</v>
      </c>
      <c r="C392" t="s">
        <v>44</v>
      </c>
      <c r="D392" t="s">
        <v>45</v>
      </c>
      <c r="E392">
        <v>0.45200000000000001</v>
      </c>
      <c r="F392" t="s">
        <v>46</v>
      </c>
      <c r="G392" t="s">
        <v>47</v>
      </c>
      <c r="H392" t="s">
        <v>45</v>
      </c>
      <c r="I392">
        <v>0.31109999999999999</v>
      </c>
      <c r="J392" t="s">
        <v>46</v>
      </c>
      <c r="K392" t="s">
        <v>48</v>
      </c>
      <c r="L392" t="s">
        <v>49</v>
      </c>
      <c r="M392" t="s">
        <v>50</v>
      </c>
      <c r="N392" t="s">
        <v>51</v>
      </c>
      <c r="O392">
        <v>3.45</v>
      </c>
      <c r="P392">
        <v>8.26</v>
      </c>
      <c r="Q392" t="s">
        <v>46</v>
      </c>
      <c r="R392" t="s">
        <v>52</v>
      </c>
      <c r="S392" t="s">
        <v>53</v>
      </c>
      <c r="T392" t="s">
        <v>46</v>
      </c>
      <c r="U392" t="s">
        <v>54</v>
      </c>
      <c r="V392" t="s">
        <v>55</v>
      </c>
      <c r="W392" t="s">
        <v>403</v>
      </c>
      <c r="X392" t="s">
        <v>195</v>
      </c>
      <c r="Y392">
        <v>1.34</v>
      </c>
      <c r="Z392" t="s">
        <v>46</v>
      </c>
      <c r="AA392" t="s">
        <v>58</v>
      </c>
      <c r="AB392" t="s">
        <v>59</v>
      </c>
      <c r="AC392">
        <v>283</v>
      </c>
      <c r="AD392" t="s">
        <v>46</v>
      </c>
      <c r="AE392" t="s">
        <v>60</v>
      </c>
      <c r="AF392" t="s">
        <v>45</v>
      </c>
      <c r="AG392" t="s">
        <v>46</v>
      </c>
      <c r="AH392" t="s">
        <v>61</v>
      </c>
      <c r="AI392" t="s">
        <v>48</v>
      </c>
      <c r="AJ392" t="s">
        <v>62</v>
      </c>
      <c r="AK392" t="s">
        <v>63</v>
      </c>
      <c r="AL392" t="s">
        <v>376</v>
      </c>
      <c r="AM392" t="s">
        <v>46</v>
      </c>
      <c r="AN392" t="s">
        <v>60</v>
      </c>
      <c r="AO392" t="s">
        <v>62</v>
      </c>
      <c r="AP392" t="s">
        <v>713</v>
      </c>
      <c r="AQ392" t="s">
        <v>66</v>
      </c>
      <c r="AR392" t="s">
        <v>67</v>
      </c>
    </row>
    <row r="393" spans="1:44">
      <c r="A393" s="1">
        <v>45427</v>
      </c>
      <c r="B393" s="2">
        <v>0.25171296296296297</v>
      </c>
      <c r="C393" t="s">
        <v>44</v>
      </c>
      <c r="D393" t="s">
        <v>45</v>
      </c>
      <c r="E393">
        <v>0.67700000000000005</v>
      </c>
      <c r="F393" t="s">
        <v>46</v>
      </c>
      <c r="G393" t="s">
        <v>47</v>
      </c>
      <c r="H393" t="s">
        <v>45</v>
      </c>
      <c r="I393">
        <v>0.31140000000000001</v>
      </c>
      <c r="J393" t="s">
        <v>46</v>
      </c>
      <c r="K393" t="s">
        <v>48</v>
      </c>
      <c r="L393" t="s">
        <v>49</v>
      </c>
      <c r="M393" t="s">
        <v>50</v>
      </c>
      <c r="N393" t="s">
        <v>51</v>
      </c>
      <c r="O393">
        <v>3.45</v>
      </c>
      <c r="P393">
        <v>8.26</v>
      </c>
      <c r="Q393" t="s">
        <v>46</v>
      </c>
      <c r="R393" t="s">
        <v>52</v>
      </c>
      <c r="S393" t="s">
        <v>53</v>
      </c>
      <c r="T393" t="s">
        <v>46</v>
      </c>
      <c r="U393" t="s">
        <v>54</v>
      </c>
      <c r="V393" t="s">
        <v>55</v>
      </c>
      <c r="W393" t="s">
        <v>405</v>
      </c>
      <c r="X393" t="s">
        <v>360</v>
      </c>
      <c r="Y393">
        <v>1.34</v>
      </c>
      <c r="Z393" t="s">
        <v>46</v>
      </c>
      <c r="AA393" t="s">
        <v>58</v>
      </c>
      <c r="AB393" t="s">
        <v>59</v>
      </c>
      <c r="AC393">
        <v>283</v>
      </c>
      <c r="AD393" t="s">
        <v>46</v>
      </c>
      <c r="AE393" t="s">
        <v>60</v>
      </c>
      <c r="AF393" t="s">
        <v>45</v>
      </c>
      <c r="AG393" t="s">
        <v>46</v>
      </c>
      <c r="AH393" t="s">
        <v>61</v>
      </c>
      <c r="AI393" t="s">
        <v>48</v>
      </c>
      <c r="AJ393" t="s">
        <v>62</v>
      </c>
      <c r="AK393" t="s">
        <v>63</v>
      </c>
      <c r="AL393" t="s">
        <v>376</v>
      </c>
      <c r="AM393" t="s">
        <v>46</v>
      </c>
      <c r="AN393" t="s">
        <v>60</v>
      </c>
      <c r="AO393" t="s">
        <v>62</v>
      </c>
      <c r="AP393" t="s">
        <v>714</v>
      </c>
      <c r="AQ393" t="s">
        <v>66</v>
      </c>
      <c r="AR393" t="s">
        <v>67</v>
      </c>
    </row>
    <row r="394" spans="1:44">
      <c r="A394" s="1">
        <v>45427</v>
      </c>
      <c r="B394" s="2">
        <v>0.25175925925925924</v>
      </c>
      <c r="C394" t="s">
        <v>44</v>
      </c>
      <c r="D394" t="s">
        <v>45</v>
      </c>
      <c r="E394">
        <v>0.66700000000000004</v>
      </c>
      <c r="F394" t="s">
        <v>46</v>
      </c>
      <c r="G394" t="s">
        <v>47</v>
      </c>
      <c r="H394" t="s">
        <v>45</v>
      </c>
      <c r="I394">
        <v>0.30990000000000001</v>
      </c>
      <c r="J394" t="s">
        <v>46</v>
      </c>
      <c r="K394" t="s">
        <v>48</v>
      </c>
      <c r="L394" t="s">
        <v>49</v>
      </c>
      <c r="M394" t="s">
        <v>50</v>
      </c>
      <c r="N394" t="s">
        <v>51</v>
      </c>
      <c r="O394">
        <v>3.45</v>
      </c>
      <c r="P394">
        <v>8.26</v>
      </c>
      <c r="Q394" t="s">
        <v>46</v>
      </c>
      <c r="R394" t="s">
        <v>52</v>
      </c>
      <c r="S394" t="s">
        <v>53</v>
      </c>
      <c r="T394" t="s">
        <v>46</v>
      </c>
      <c r="U394" t="s">
        <v>54</v>
      </c>
      <c r="V394" t="s">
        <v>55</v>
      </c>
      <c r="W394" t="s">
        <v>405</v>
      </c>
      <c r="X394" t="s">
        <v>360</v>
      </c>
      <c r="Y394">
        <v>1.34</v>
      </c>
      <c r="Z394" t="s">
        <v>46</v>
      </c>
      <c r="AA394" t="s">
        <v>58</v>
      </c>
      <c r="AB394" t="s">
        <v>59</v>
      </c>
      <c r="AC394">
        <v>283</v>
      </c>
      <c r="AD394" t="s">
        <v>46</v>
      </c>
      <c r="AE394" t="s">
        <v>60</v>
      </c>
      <c r="AF394" t="s">
        <v>45</v>
      </c>
      <c r="AG394" t="s">
        <v>46</v>
      </c>
      <c r="AH394" t="s">
        <v>61</v>
      </c>
      <c r="AI394" t="s">
        <v>48</v>
      </c>
      <c r="AJ394" t="s">
        <v>62</v>
      </c>
      <c r="AK394" t="s">
        <v>63</v>
      </c>
      <c r="AL394" t="s">
        <v>376</v>
      </c>
      <c r="AM394" t="s">
        <v>46</v>
      </c>
      <c r="AN394" t="s">
        <v>60</v>
      </c>
      <c r="AO394" t="s">
        <v>62</v>
      </c>
      <c r="AP394" t="s">
        <v>715</v>
      </c>
      <c r="AQ394" t="s">
        <v>66</v>
      </c>
      <c r="AR394" t="s">
        <v>67</v>
      </c>
    </row>
    <row r="395" spans="1:44">
      <c r="A395" s="1">
        <v>45427</v>
      </c>
      <c r="B395" s="2">
        <v>0.25180555555555556</v>
      </c>
      <c r="C395" t="s">
        <v>44</v>
      </c>
      <c r="D395" t="s">
        <v>45</v>
      </c>
      <c r="E395">
        <v>0.54500000000000004</v>
      </c>
      <c r="F395" t="s">
        <v>46</v>
      </c>
      <c r="G395" t="s">
        <v>47</v>
      </c>
      <c r="H395" t="s">
        <v>45</v>
      </c>
      <c r="I395">
        <v>0.31040000000000001</v>
      </c>
      <c r="J395" t="s">
        <v>46</v>
      </c>
      <c r="K395" t="s">
        <v>48</v>
      </c>
      <c r="L395" t="s">
        <v>49</v>
      </c>
      <c r="M395" t="s">
        <v>50</v>
      </c>
      <c r="N395" t="s">
        <v>51</v>
      </c>
      <c r="O395">
        <v>3.45</v>
      </c>
      <c r="P395">
        <v>8.26</v>
      </c>
      <c r="Q395" t="s">
        <v>46</v>
      </c>
      <c r="R395" t="s">
        <v>52</v>
      </c>
      <c r="S395" t="s">
        <v>53</v>
      </c>
      <c r="T395" t="s">
        <v>46</v>
      </c>
      <c r="U395" t="s">
        <v>54</v>
      </c>
      <c r="V395" t="s">
        <v>55</v>
      </c>
      <c r="W395" t="s">
        <v>106</v>
      </c>
      <c r="X395" t="s">
        <v>360</v>
      </c>
      <c r="Y395">
        <v>1.34</v>
      </c>
      <c r="Z395" t="s">
        <v>46</v>
      </c>
      <c r="AA395" t="s">
        <v>58</v>
      </c>
      <c r="AB395" t="s">
        <v>59</v>
      </c>
      <c r="AC395">
        <v>283</v>
      </c>
      <c r="AD395" t="s">
        <v>46</v>
      </c>
      <c r="AE395" t="s">
        <v>60</v>
      </c>
      <c r="AF395" t="s">
        <v>45</v>
      </c>
      <c r="AG395" t="s">
        <v>46</v>
      </c>
      <c r="AH395" t="s">
        <v>61</v>
      </c>
      <c r="AI395" t="s">
        <v>48</v>
      </c>
      <c r="AJ395" t="s">
        <v>62</v>
      </c>
      <c r="AK395" t="s">
        <v>63</v>
      </c>
      <c r="AL395" t="s">
        <v>376</v>
      </c>
      <c r="AM395" t="s">
        <v>46</v>
      </c>
      <c r="AN395" t="s">
        <v>60</v>
      </c>
      <c r="AO395" t="s">
        <v>62</v>
      </c>
      <c r="AP395" t="s">
        <v>716</v>
      </c>
      <c r="AQ395" t="s">
        <v>66</v>
      </c>
      <c r="AR395" t="s">
        <v>67</v>
      </c>
    </row>
    <row r="396" spans="1:44">
      <c r="A396" s="1">
        <v>45427</v>
      </c>
      <c r="B396" s="2">
        <v>0.25186342592592592</v>
      </c>
      <c r="C396" t="s">
        <v>44</v>
      </c>
      <c r="D396" t="s">
        <v>45</v>
      </c>
      <c r="E396">
        <v>0.80600000000000005</v>
      </c>
      <c r="F396" t="s">
        <v>46</v>
      </c>
      <c r="G396" t="s">
        <v>47</v>
      </c>
      <c r="H396" t="s">
        <v>45</v>
      </c>
      <c r="I396">
        <v>0.31109999999999999</v>
      </c>
      <c r="J396" t="s">
        <v>46</v>
      </c>
      <c r="K396" t="s">
        <v>48</v>
      </c>
      <c r="L396" t="s">
        <v>49</v>
      </c>
      <c r="M396" t="s">
        <v>50</v>
      </c>
      <c r="N396" t="s">
        <v>51</v>
      </c>
      <c r="O396">
        <v>3.45</v>
      </c>
      <c r="P396">
        <v>8.26</v>
      </c>
      <c r="Q396" t="s">
        <v>46</v>
      </c>
      <c r="R396" t="s">
        <v>52</v>
      </c>
      <c r="S396" t="s">
        <v>53</v>
      </c>
      <c r="T396" t="s">
        <v>46</v>
      </c>
      <c r="U396" t="s">
        <v>54</v>
      </c>
      <c r="V396" t="s">
        <v>55</v>
      </c>
      <c r="W396" t="s">
        <v>317</v>
      </c>
      <c r="X396" t="s">
        <v>152</v>
      </c>
      <c r="Y396">
        <v>1.33</v>
      </c>
      <c r="Z396" t="s">
        <v>46</v>
      </c>
      <c r="AA396" t="s">
        <v>58</v>
      </c>
      <c r="AB396" t="s">
        <v>59</v>
      </c>
      <c r="AC396">
        <v>283</v>
      </c>
      <c r="AD396" t="s">
        <v>46</v>
      </c>
      <c r="AE396" t="s">
        <v>60</v>
      </c>
      <c r="AF396" t="s">
        <v>45</v>
      </c>
      <c r="AG396" t="s">
        <v>46</v>
      </c>
      <c r="AH396" t="s">
        <v>61</v>
      </c>
      <c r="AI396" t="s">
        <v>48</v>
      </c>
      <c r="AJ396" t="s">
        <v>62</v>
      </c>
      <c r="AK396" t="s">
        <v>63</v>
      </c>
      <c r="AL396" t="s">
        <v>376</v>
      </c>
      <c r="AM396" t="s">
        <v>46</v>
      </c>
      <c r="AN396" t="s">
        <v>60</v>
      </c>
      <c r="AO396" t="s">
        <v>62</v>
      </c>
      <c r="AP396" t="s">
        <v>717</v>
      </c>
      <c r="AQ396" t="s">
        <v>66</v>
      </c>
      <c r="AR396" t="s">
        <v>67</v>
      </c>
    </row>
    <row r="397" spans="1:44">
      <c r="A397" s="1">
        <v>45427</v>
      </c>
      <c r="B397" s="2">
        <v>0.25190972222222224</v>
      </c>
      <c r="C397" t="s">
        <v>44</v>
      </c>
      <c r="D397" t="s">
        <v>45</v>
      </c>
      <c r="E397">
        <v>0.48499999999999999</v>
      </c>
      <c r="F397" t="s">
        <v>46</v>
      </c>
      <c r="G397" t="s">
        <v>47</v>
      </c>
      <c r="H397" t="s">
        <v>45</v>
      </c>
      <c r="I397">
        <v>0.311</v>
      </c>
      <c r="J397" t="s">
        <v>46</v>
      </c>
      <c r="K397" t="s">
        <v>48</v>
      </c>
      <c r="L397" t="s">
        <v>49</v>
      </c>
      <c r="M397" t="s">
        <v>50</v>
      </c>
      <c r="N397" t="s">
        <v>51</v>
      </c>
      <c r="O397">
        <v>3.45</v>
      </c>
      <c r="P397">
        <v>8.26</v>
      </c>
      <c r="Q397" t="s">
        <v>46</v>
      </c>
      <c r="R397" t="s">
        <v>52</v>
      </c>
      <c r="S397" t="s">
        <v>53</v>
      </c>
      <c r="T397" t="s">
        <v>46</v>
      </c>
      <c r="U397" t="s">
        <v>54</v>
      </c>
      <c r="V397" t="s">
        <v>55</v>
      </c>
      <c r="W397" t="s">
        <v>297</v>
      </c>
      <c r="X397" t="s">
        <v>330</v>
      </c>
      <c r="Y397">
        <v>1.34</v>
      </c>
      <c r="Z397" t="s">
        <v>46</v>
      </c>
      <c r="AA397" t="s">
        <v>58</v>
      </c>
      <c r="AB397" t="s">
        <v>59</v>
      </c>
      <c r="AC397">
        <v>283</v>
      </c>
      <c r="AD397" t="s">
        <v>46</v>
      </c>
      <c r="AE397" t="s">
        <v>60</v>
      </c>
      <c r="AF397" t="s">
        <v>45</v>
      </c>
      <c r="AG397" t="s">
        <v>46</v>
      </c>
      <c r="AH397" t="s">
        <v>61</v>
      </c>
      <c r="AI397" t="s">
        <v>48</v>
      </c>
      <c r="AJ397" t="s">
        <v>62</v>
      </c>
      <c r="AK397" t="s">
        <v>63</v>
      </c>
      <c r="AL397" t="s">
        <v>376</v>
      </c>
      <c r="AM397" t="s">
        <v>46</v>
      </c>
      <c r="AN397" t="s">
        <v>60</v>
      </c>
      <c r="AO397" t="s">
        <v>62</v>
      </c>
      <c r="AP397" t="s">
        <v>718</v>
      </c>
      <c r="AQ397" t="s">
        <v>66</v>
      </c>
      <c r="AR397" t="s">
        <v>67</v>
      </c>
    </row>
    <row r="398" spans="1:44">
      <c r="A398" s="1">
        <v>45427</v>
      </c>
      <c r="B398" s="2">
        <v>0.25195601851851851</v>
      </c>
      <c r="C398" t="s">
        <v>44</v>
      </c>
      <c r="D398" t="s">
        <v>45</v>
      </c>
      <c r="E398">
        <v>0.54500000000000004</v>
      </c>
      <c r="F398" t="s">
        <v>46</v>
      </c>
      <c r="G398" t="s">
        <v>47</v>
      </c>
      <c r="H398" t="s">
        <v>45</v>
      </c>
      <c r="I398">
        <v>0.311</v>
      </c>
      <c r="J398" t="s">
        <v>46</v>
      </c>
      <c r="K398" t="s">
        <v>48</v>
      </c>
      <c r="L398" t="s">
        <v>49</v>
      </c>
      <c r="M398" t="s">
        <v>50</v>
      </c>
      <c r="N398" t="s">
        <v>51</v>
      </c>
      <c r="O398">
        <v>3.45</v>
      </c>
      <c r="P398">
        <v>8.26</v>
      </c>
      <c r="Q398" t="s">
        <v>46</v>
      </c>
      <c r="R398" t="s">
        <v>52</v>
      </c>
      <c r="S398" t="s">
        <v>53</v>
      </c>
      <c r="T398" t="s">
        <v>46</v>
      </c>
      <c r="U398" t="s">
        <v>54</v>
      </c>
      <c r="V398" t="s">
        <v>55</v>
      </c>
      <c r="W398" t="s">
        <v>300</v>
      </c>
      <c r="X398" t="s">
        <v>330</v>
      </c>
      <c r="Y398">
        <v>1.34</v>
      </c>
      <c r="Z398" t="s">
        <v>46</v>
      </c>
      <c r="AA398" t="s">
        <v>58</v>
      </c>
      <c r="AB398" t="s">
        <v>59</v>
      </c>
      <c r="AC398">
        <v>283</v>
      </c>
      <c r="AD398" t="s">
        <v>46</v>
      </c>
      <c r="AE398" t="s">
        <v>60</v>
      </c>
      <c r="AF398" t="s">
        <v>45</v>
      </c>
      <c r="AG398" t="s">
        <v>46</v>
      </c>
      <c r="AH398" t="s">
        <v>61</v>
      </c>
      <c r="AI398" t="s">
        <v>48</v>
      </c>
      <c r="AJ398" t="s">
        <v>62</v>
      </c>
      <c r="AK398" t="s">
        <v>63</v>
      </c>
      <c r="AL398" t="s">
        <v>376</v>
      </c>
      <c r="AM398" t="s">
        <v>46</v>
      </c>
      <c r="AN398" t="s">
        <v>60</v>
      </c>
      <c r="AO398" t="s">
        <v>62</v>
      </c>
      <c r="AP398" t="s">
        <v>719</v>
      </c>
      <c r="AQ398" t="s">
        <v>66</v>
      </c>
      <c r="AR398" t="s">
        <v>67</v>
      </c>
    </row>
    <row r="399" spans="1:44">
      <c r="A399" s="1">
        <v>45427</v>
      </c>
      <c r="B399" s="2">
        <v>0.25200231481481483</v>
      </c>
      <c r="C399" t="s">
        <v>44</v>
      </c>
      <c r="D399" t="s">
        <v>45</v>
      </c>
      <c r="E399">
        <v>1</v>
      </c>
      <c r="F399" t="s">
        <v>46</v>
      </c>
      <c r="G399" t="s">
        <v>47</v>
      </c>
      <c r="H399" t="s">
        <v>45</v>
      </c>
      <c r="I399">
        <v>0.31109999999999999</v>
      </c>
      <c r="J399" t="s">
        <v>46</v>
      </c>
      <c r="K399" t="s">
        <v>48</v>
      </c>
      <c r="L399" t="s">
        <v>49</v>
      </c>
      <c r="M399" t="s">
        <v>50</v>
      </c>
      <c r="N399" t="s">
        <v>51</v>
      </c>
      <c r="O399">
        <v>3.45</v>
      </c>
      <c r="P399">
        <v>8.26</v>
      </c>
      <c r="Q399" t="s">
        <v>46</v>
      </c>
      <c r="R399" t="s">
        <v>52</v>
      </c>
      <c r="S399" t="s">
        <v>53</v>
      </c>
      <c r="T399" t="s">
        <v>46</v>
      </c>
      <c r="U399" t="s">
        <v>54</v>
      </c>
      <c r="V399" t="s">
        <v>55</v>
      </c>
      <c r="W399" t="s">
        <v>206</v>
      </c>
      <c r="X399" t="s">
        <v>292</v>
      </c>
      <c r="Y399">
        <v>1.36</v>
      </c>
      <c r="Z399" t="s">
        <v>46</v>
      </c>
      <c r="AA399" t="s">
        <v>58</v>
      </c>
      <c r="AB399" t="s">
        <v>59</v>
      </c>
      <c r="AC399">
        <v>284</v>
      </c>
      <c r="AD399" t="s">
        <v>46</v>
      </c>
      <c r="AE399" t="s">
        <v>60</v>
      </c>
      <c r="AF399" t="s">
        <v>45</v>
      </c>
      <c r="AG399" t="s">
        <v>46</v>
      </c>
      <c r="AH399" t="s">
        <v>61</v>
      </c>
      <c r="AI399" t="s">
        <v>48</v>
      </c>
      <c r="AJ399" t="s">
        <v>62</v>
      </c>
      <c r="AK399" t="s">
        <v>63</v>
      </c>
      <c r="AL399" t="s">
        <v>376</v>
      </c>
      <c r="AM399" t="s">
        <v>46</v>
      </c>
      <c r="AN399" t="s">
        <v>60</v>
      </c>
      <c r="AO399" t="s">
        <v>62</v>
      </c>
      <c r="AP399" t="s">
        <v>720</v>
      </c>
      <c r="AQ399" t="s">
        <v>66</v>
      </c>
      <c r="AR399" t="s">
        <v>67</v>
      </c>
    </row>
    <row r="400" spans="1:44">
      <c r="A400" s="1">
        <v>45427</v>
      </c>
      <c r="B400" s="2">
        <v>0.25206018518518519</v>
      </c>
      <c r="C400" t="s">
        <v>44</v>
      </c>
      <c r="D400" t="s">
        <v>45</v>
      </c>
      <c r="E400">
        <v>0.73499999999999999</v>
      </c>
      <c r="F400" t="s">
        <v>46</v>
      </c>
      <c r="G400" t="s">
        <v>47</v>
      </c>
      <c r="H400" t="s">
        <v>45</v>
      </c>
      <c r="I400">
        <v>0.31109999999999999</v>
      </c>
      <c r="J400" t="s">
        <v>46</v>
      </c>
      <c r="K400" t="s">
        <v>48</v>
      </c>
      <c r="L400" t="s">
        <v>49</v>
      </c>
      <c r="M400" t="s">
        <v>50</v>
      </c>
      <c r="N400" t="s">
        <v>51</v>
      </c>
      <c r="O400">
        <v>3.45</v>
      </c>
      <c r="P400">
        <v>8.26</v>
      </c>
      <c r="Q400" t="s">
        <v>46</v>
      </c>
      <c r="R400" t="s">
        <v>52</v>
      </c>
      <c r="S400" t="s">
        <v>53</v>
      </c>
      <c r="T400" t="s">
        <v>46</v>
      </c>
      <c r="U400" t="s">
        <v>54</v>
      </c>
      <c r="V400" t="s">
        <v>55</v>
      </c>
      <c r="W400" t="s">
        <v>206</v>
      </c>
      <c r="X400" t="s">
        <v>292</v>
      </c>
      <c r="Y400">
        <v>1.36</v>
      </c>
      <c r="Z400" t="s">
        <v>46</v>
      </c>
      <c r="AA400" t="s">
        <v>58</v>
      </c>
      <c r="AB400" t="s">
        <v>59</v>
      </c>
      <c r="AC400">
        <v>283</v>
      </c>
      <c r="AD400" t="s">
        <v>46</v>
      </c>
      <c r="AE400" t="s">
        <v>60</v>
      </c>
      <c r="AF400" t="s">
        <v>45</v>
      </c>
      <c r="AG400" t="s">
        <v>46</v>
      </c>
      <c r="AH400" t="s">
        <v>61</v>
      </c>
      <c r="AI400" t="s">
        <v>48</v>
      </c>
      <c r="AJ400" t="s">
        <v>62</v>
      </c>
      <c r="AK400" t="s">
        <v>63</v>
      </c>
      <c r="AL400" t="s">
        <v>376</v>
      </c>
      <c r="AM400" t="s">
        <v>46</v>
      </c>
      <c r="AN400" t="s">
        <v>60</v>
      </c>
      <c r="AO400" t="s">
        <v>62</v>
      </c>
      <c r="AP400" t="s">
        <v>721</v>
      </c>
      <c r="AQ400" t="s">
        <v>66</v>
      </c>
      <c r="AR400" t="s">
        <v>67</v>
      </c>
    </row>
    <row r="401" spans="1:44">
      <c r="A401" s="1">
        <v>45427</v>
      </c>
      <c r="B401" s="2">
        <v>0.25210648148148146</v>
      </c>
      <c r="C401" t="s">
        <v>44</v>
      </c>
      <c r="D401" t="s">
        <v>45</v>
      </c>
      <c r="E401">
        <v>0.5</v>
      </c>
      <c r="F401" t="s">
        <v>46</v>
      </c>
      <c r="G401" t="s">
        <v>47</v>
      </c>
      <c r="H401" t="s">
        <v>45</v>
      </c>
      <c r="I401">
        <v>0.31140000000000001</v>
      </c>
      <c r="J401" t="s">
        <v>46</v>
      </c>
      <c r="K401" t="s">
        <v>48</v>
      </c>
      <c r="L401" t="s">
        <v>49</v>
      </c>
      <c r="M401" t="s">
        <v>50</v>
      </c>
      <c r="N401" t="s">
        <v>51</v>
      </c>
      <c r="O401">
        <v>3.45</v>
      </c>
      <c r="P401">
        <v>8.26</v>
      </c>
      <c r="Q401" t="s">
        <v>46</v>
      </c>
      <c r="R401" t="s">
        <v>52</v>
      </c>
      <c r="S401" t="s">
        <v>53</v>
      </c>
      <c r="T401" t="s">
        <v>46</v>
      </c>
      <c r="U401" t="s">
        <v>54</v>
      </c>
      <c r="V401" t="s">
        <v>55</v>
      </c>
      <c r="W401" t="s">
        <v>213</v>
      </c>
      <c r="X401" t="s">
        <v>292</v>
      </c>
      <c r="Y401">
        <v>1.35</v>
      </c>
      <c r="Z401" t="s">
        <v>46</v>
      </c>
      <c r="AA401" t="s">
        <v>58</v>
      </c>
      <c r="AB401" t="s">
        <v>59</v>
      </c>
      <c r="AC401">
        <v>283</v>
      </c>
      <c r="AD401" t="s">
        <v>46</v>
      </c>
      <c r="AE401" t="s">
        <v>60</v>
      </c>
      <c r="AF401" t="s">
        <v>45</v>
      </c>
      <c r="AG401" t="s">
        <v>46</v>
      </c>
      <c r="AH401" t="s">
        <v>61</v>
      </c>
      <c r="AI401" t="s">
        <v>48</v>
      </c>
      <c r="AJ401" t="s">
        <v>62</v>
      </c>
      <c r="AK401" t="s">
        <v>63</v>
      </c>
      <c r="AL401" t="s">
        <v>376</v>
      </c>
      <c r="AM401" t="s">
        <v>46</v>
      </c>
      <c r="AN401" t="s">
        <v>60</v>
      </c>
      <c r="AO401" t="s">
        <v>62</v>
      </c>
      <c r="AP401" t="s">
        <v>722</v>
      </c>
      <c r="AQ401" t="s">
        <v>66</v>
      </c>
      <c r="AR401" t="s">
        <v>67</v>
      </c>
    </row>
    <row r="402" spans="1:44">
      <c r="A402" s="1">
        <v>45427</v>
      </c>
      <c r="B402" s="2">
        <v>0.25215277777777778</v>
      </c>
      <c r="C402" t="s">
        <v>44</v>
      </c>
      <c r="D402" t="s">
        <v>45</v>
      </c>
      <c r="E402">
        <v>0.68799999999999994</v>
      </c>
      <c r="F402" t="s">
        <v>46</v>
      </c>
      <c r="G402" t="s">
        <v>47</v>
      </c>
      <c r="H402" t="s">
        <v>45</v>
      </c>
      <c r="I402">
        <v>0.3115</v>
      </c>
      <c r="J402" t="s">
        <v>46</v>
      </c>
      <c r="K402" t="s">
        <v>48</v>
      </c>
      <c r="L402" t="s">
        <v>49</v>
      </c>
      <c r="M402" t="s">
        <v>50</v>
      </c>
      <c r="N402" t="s">
        <v>51</v>
      </c>
      <c r="O402">
        <v>3.45</v>
      </c>
      <c r="P402">
        <v>8.26</v>
      </c>
      <c r="Q402" t="s">
        <v>46</v>
      </c>
      <c r="R402" t="s">
        <v>52</v>
      </c>
      <c r="S402" t="s">
        <v>53</v>
      </c>
      <c r="T402" t="s">
        <v>46</v>
      </c>
      <c r="U402" t="s">
        <v>54</v>
      </c>
      <c r="V402" t="s">
        <v>55</v>
      </c>
      <c r="W402" t="s">
        <v>330</v>
      </c>
      <c r="X402" t="s">
        <v>82</v>
      </c>
      <c r="Y402">
        <v>1.35</v>
      </c>
      <c r="Z402" t="s">
        <v>46</v>
      </c>
      <c r="AA402" t="s">
        <v>58</v>
      </c>
      <c r="AB402" t="s">
        <v>59</v>
      </c>
      <c r="AC402">
        <v>283</v>
      </c>
      <c r="AD402" t="s">
        <v>46</v>
      </c>
      <c r="AE402" t="s">
        <v>60</v>
      </c>
      <c r="AF402" t="s">
        <v>45</v>
      </c>
      <c r="AG402" t="s">
        <v>46</v>
      </c>
      <c r="AH402" t="s">
        <v>61</v>
      </c>
      <c r="AI402" t="s">
        <v>48</v>
      </c>
      <c r="AJ402" t="s">
        <v>62</v>
      </c>
      <c r="AK402" t="s">
        <v>63</v>
      </c>
      <c r="AL402" t="s">
        <v>376</v>
      </c>
      <c r="AM402" t="s">
        <v>46</v>
      </c>
      <c r="AN402" t="s">
        <v>60</v>
      </c>
      <c r="AO402" t="s">
        <v>62</v>
      </c>
      <c r="AP402" t="s">
        <v>723</v>
      </c>
      <c r="AQ402" t="s">
        <v>66</v>
      </c>
      <c r="AR402" t="s">
        <v>67</v>
      </c>
    </row>
    <row r="403" spans="1:44">
      <c r="A403" s="1">
        <v>45427</v>
      </c>
      <c r="B403" s="2">
        <v>0.25219907407407405</v>
      </c>
      <c r="C403" t="s">
        <v>44</v>
      </c>
      <c r="D403" t="s">
        <v>45</v>
      </c>
      <c r="E403">
        <v>0.52900000000000003</v>
      </c>
      <c r="F403" t="s">
        <v>46</v>
      </c>
      <c r="G403" t="s">
        <v>47</v>
      </c>
      <c r="H403" t="s">
        <v>45</v>
      </c>
      <c r="I403">
        <v>0.31130000000000002</v>
      </c>
      <c r="J403" t="s">
        <v>46</v>
      </c>
      <c r="K403" t="s">
        <v>48</v>
      </c>
      <c r="L403" t="s">
        <v>49</v>
      </c>
      <c r="M403" t="s">
        <v>50</v>
      </c>
      <c r="N403" t="s">
        <v>51</v>
      </c>
      <c r="O403">
        <v>3.45</v>
      </c>
      <c r="P403">
        <v>8.26</v>
      </c>
      <c r="Q403" t="s">
        <v>46</v>
      </c>
      <c r="R403" t="s">
        <v>52</v>
      </c>
      <c r="S403" t="s">
        <v>53</v>
      </c>
      <c r="T403" t="s">
        <v>46</v>
      </c>
      <c r="U403" t="s">
        <v>54</v>
      </c>
      <c r="V403" t="s">
        <v>55</v>
      </c>
      <c r="W403" t="s">
        <v>74</v>
      </c>
      <c r="X403" t="s">
        <v>292</v>
      </c>
      <c r="Y403">
        <v>1.36</v>
      </c>
      <c r="Z403" t="s">
        <v>46</v>
      </c>
      <c r="AA403" t="s">
        <v>58</v>
      </c>
      <c r="AB403" t="s">
        <v>59</v>
      </c>
      <c r="AC403">
        <v>283</v>
      </c>
      <c r="AD403" t="s">
        <v>46</v>
      </c>
      <c r="AE403" t="s">
        <v>60</v>
      </c>
      <c r="AF403" t="s">
        <v>45</v>
      </c>
      <c r="AG403" t="s">
        <v>46</v>
      </c>
      <c r="AH403" t="s">
        <v>61</v>
      </c>
      <c r="AI403" t="s">
        <v>48</v>
      </c>
      <c r="AJ403" t="s">
        <v>62</v>
      </c>
      <c r="AK403" t="s">
        <v>63</v>
      </c>
      <c r="AL403" t="s">
        <v>376</v>
      </c>
      <c r="AM403" t="s">
        <v>46</v>
      </c>
      <c r="AN403" t="s">
        <v>60</v>
      </c>
      <c r="AO403" t="s">
        <v>62</v>
      </c>
      <c r="AP403" t="s">
        <v>724</v>
      </c>
      <c r="AQ403" t="s">
        <v>66</v>
      </c>
      <c r="AR403" t="s">
        <v>67</v>
      </c>
    </row>
    <row r="404" spans="1:44">
      <c r="A404" s="1">
        <v>45427</v>
      </c>
      <c r="B404" s="2">
        <v>0.25225694444444446</v>
      </c>
      <c r="C404" t="s">
        <v>44</v>
      </c>
      <c r="D404" t="s">
        <v>45</v>
      </c>
      <c r="E404">
        <v>0.91700000000000004</v>
      </c>
      <c r="F404" t="s">
        <v>46</v>
      </c>
      <c r="G404" t="s">
        <v>47</v>
      </c>
      <c r="H404" t="s">
        <v>45</v>
      </c>
      <c r="I404">
        <v>0.31140000000000001</v>
      </c>
      <c r="J404" t="s">
        <v>46</v>
      </c>
      <c r="K404" t="s">
        <v>48</v>
      </c>
      <c r="L404" t="s">
        <v>49</v>
      </c>
      <c r="M404" t="s">
        <v>50</v>
      </c>
      <c r="N404" t="s">
        <v>51</v>
      </c>
      <c r="O404">
        <v>3.45</v>
      </c>
      <c r="P404">
        <v>8.26</v>
      </c>
      <c r="Q404" t="s">
        <v>46</v>
      </c>
      <c r="R404" t="s">
        <v>52</v>
      </c>
      <c r="S404" t="s">
        <v>53</v>
      </c>
      <c r="T404" t="s">
        <v>46</v>
      </c>
      <c r="U404" t="s">
        <v>54</v>
      </c>
      <c r="V404" t="s">
        <v>55</v>
      </c>
      <c r="W404" t="s">
        <v>432</v>
      </c>
      <c r="X404" t="s">
        <v>340</v>
      </c>
      <c r="Y404">
        <v>1.36</v>
      </c>
      <c r="Z404" t="s">
        <v>46</v>
      </c>
      <c r="AA404" t="s">
        <v>58</v>
      </c>
      <c r="AB404" t="s">
        <v>59</v>
      </c>
      <c r="AC404">
        <v>284</v>
      </c>
      <c r="AD404" t="s">
        <v>46</v>
      </c>
      <c r="AE404" t="s">
        <v>60</v>
      </c>
      <c r="AF404" t="s">
        <v>45</v>
      </c>
      <c r="AG404" t="s">
        <v>46</v>
      </c>
      <c r="AH404" t="s">
        <v>61</v>
      </c>
      <c r="AI404" t="s">
        <v>48</v>
      </c>
      <c r="AJ404" t="s">
        <v>62</v>
      </c>
      <c r="AK404" t="s">
        <v>63</v>
      </c>
      <c r="AL404" t="s">
        <v>376</v>
      </c>
      <c r="AM404" t="s">
        <v>46</v>
      </c>
      <c r="AN404" t="s">
        <v>60</v>
      </c>
      <c r="AO404" t="s">
        <v>62</v>
      </c>
      <c r="AP404" t="s">
        <v>725</v>
      </c>
      <c r="AQ404" t="s">
        <v>66</v>
      </c>
      <c r="AR404" t="s">
        <v>67</v>
      </c>
    </row>
    <row r="405" spans="1:44">
      <c r="A405" s="1">
        <v>45427</v>
      </c>
      <c r="B405" s="2">
        <v>0.25230324074074073</v>
      </c>
      <c r="C405" t="s">
        <v>44</v>
      </c>
      <c r="D405" t="s">
        <v>45</v>
      </c>
      <c r="E405">
        <v>0.74299999999999999</v>
      </c>
      <c r="F405" t="s">
        <v>46</v>
      </c>
      <c r="G405" t="s">
        <v>47</v>
      </c>
      <c r="H405" t="s">
        <v>45</v>
      </c>
      <c r="I405">
        <v>0.31119999999999998</v>
      </c>
      <c r="J405" t="s">
        <v>46</v>
      </c>
      <c r="K405" t="s">
        <v>48</v>
      </c>
      <c r="L405" t="s">
        <v>49</v>
      </c>
      <c r="M405" t="s">
        <v>50</v>
      </c>
      <c r="N405" t="s">
        <v>51</v>
      </c>
      <c r="O405">
        <v>3.45</v>
      </c>
      <c r="P405">
        <v>8.26</v>
      </c>
      <c r="Q405" t="s">
        <v>46</v>
      </c>
      <c r="R405" t="s">
        <v>52</v>
      </c>
      <c r="S405" t="s">
        <v>53</v>
      </c>
      <c r="T405" t="s">
        <v>46</v>
      </c>
      <c r="U405" t="s">
        <v>54</v>
      </c>
      <c r="V405" t="s">
        <v>55</v>
      </c>
      <c r="W405" t="s">
        <v>56</v>
      </c>
      <c r="X405" t="s">
        <v>340</v>
      </c>
      <c r="Y405">
        <v>1.36</v>
      </c>
      <c r="Z405" t="s">
        <v>46</v>
      </c>
      <c r="AA405" t="s">
        <v>58</v>
      </c>
      <c r="AB405" t="s">
        <v>59</v>
      </c>
      <c r="AC405">
        <v>283</v>
      </c>
      <c r="AD405" t="s">
        <v>46</v>
      </c>
      <c r="AE405" t="s">
        <v>60</v>
      </c>
      <c r="AF405" t="s">
        <v>45</v>
      </c>
      <c r="AG405" t="s">
        <v>46</v>
      </c>
      <c r="AH405" t="s">
        <v>61</v>
      </c>
      <c r="AI405" t="s">
        <v>48</v>
      </c>
      <c r="AJ405" t="s">
        <v>62</v>
      </c>
      <c r="AK405" t="s">
        <v>63</v>
      </c>
      <c r="AL405" t="s">
        <v>376</v>
      </c>
      <c r="AM405" t="s">
        <v>46</v>
      </c>
      <c r="AN405" t="s">
        <v>60</v>
      </c>
      <c r="AO405" t="s">
        <v>62</v>
      </c>
      <c r="AP405" t="s">
        <v>726</v>
      </c>
      <c r="AQ405" t="s">
        <v>66</v>
      </c>
      <c r="AR405" t="s">
        <v>67</v>
      </c>
    </row>
    <row r="406" spans="1:44">
      <c r="A406" s="1">
        <v>45427</v>
      </c>
      <c r="B406" s="2">
        <v>0.25234953703703705</v>
      </c>
      <c r="C406" t="s">
        <v>44</v>
      </c>
      <c r="D406" t="s">
        <v>45</v>
      </c>
      <c r="E406">
        <v>0.55900000000000005</v>
      </c>
      <c r="F406" t="s">
        <v>46</v>
      </c>
      <c r="G406" t="s">
        <v>47</v>
      </c>
      <c r="H406" t="s">
        <v>45</v>
      </c>
      <c r="I406">
        <v>0.31140000000000001</v>
      </c>
      <c r="J406" t="s">
        <v>46</v>
      </c>
      <c r="K406" t="s">
        <v>48</v>
      </c>
      <c r="L406" t="s">
        <v>49</v>
      </c>
      <c r="M406" t="s">
        <v>50</v>
      </c>
      <c r="N406" t="s">
        <v>51</v>
      </c>
      <c r="O406">
        <v>3.45</v>
      </c>
      <c r="P406">
        <v>8.26</v>
      </c>
      <c r="Q406" t="s">
        <v>46</v>
      </c>
      <c r="R406" t="s">
        <v>52</v>
      </c>
      <c r="S406" t="s">
        <v>53</v>
      </c>
      <c r="T406" t="s">
        <v>46</v>
      </c>
      <c r="U406" t="s">
        <v>54</v>
      </c>
      <c r="V406" t="s">
        <v>55</v>
      </c>
      <c r="W406" t="s">
        <v>192</v>
      </c>
      <c r="X406" t="s">
        <v>292</v>
      </c>
      <c r="Y406">
        <v>1.36</v>
      </c>
      <c r="Z406" t="s">
        <v>46</v>
      </c>
      <c r="AA406" t="s">
        <v>58</v>
      </c>
      <c r="AB406" t="s">
        <v>59</v>
      </c>
      <c r="AC406">
        <v>283</v>
      </c>
      <c r="AD406" t="s">
        <v>46</v>
      </c>
      <c r="AE406" t="s">
        <v>60</v>
      </c>
      <c r="AF406" t="s">
        <v>45</v>
      </c>
      <c r="AG406" t="s">
        <v>46</v>
      </c>
      <c r="AH406" t="s">
        <v>61</v>
      </c>
      <c r="AI406" t="s">
        <v>48</v>
      </c>
      <c r="AJ406" t="s">
        <v>62</v>
      </c>
      <c r="AK406" t="s">
        <v>63</v>
      </c>
      <c r="AL406" t="s">
        <v>376</v>
      </c>
      <c r="AM406" t="s">
        <v>46</v>
      </c>
      <c r="AN406" t="s">
        <v>60</v>
      </c>
      <c r="AO406" t="s">
        <v>62</v>
      </c>
      <c r="AP406" t="s">
        <v>727</v>
      </c>
      <c r="AQ406" t="s">
        <v>66</v>
      </c>
      <c r="AR406" t="s">
        <v>67</v>
      </c>
    </row>
    <row r="407" spans="1:44">
      <c r="A407" s="1">
        <v>45427</v>
      </c>
      <c r="B407" s="2">
        <v>0.25239583333333332</v>
      </c>
      <c r="C407" t="s">
        <v>44</v>
      </c>
      <c r="D407" t="s">
        <v>45</v>
      </c>
      <c r="E407">
        <v>0.52900000000000003</v>
      </c>
      <c r="F407" t="s">
        <v>46</v>
      </c>
      <c r="G407" t="s">
        <v>47</v>
      </c>
      <c r="H407" t="s">
        <v>45</v>
      </c>
      <c r="I407">
        <v>0.31130000000000002</v>
      </c>
      <c r="J407" t="s">
        <v>46</v>
      </c>
      <c r="K407" t="s">
        <v>48</v>
      </c>
      <c r="L407" t="s">
        <v>49</v>
      </c>
      <c r="M407" t="s">
        <v>50</v>
      </c>
      <c r="N407" t="s">
        <v>51</v>
      </c>
      <c r="O407">
        <v>3.45</v>
      </c>
      <c r="P407">
        <v>8.26</v>
      </c>
      <c r="Q407" t="s">
        <v>46</v>
      </c>
      <c r="R407" t="s">
        <v>52</v>
      </c>
      <c r="S407" t="s">
        <v>53</v>
      </c>
      <c r="T407" t="s">
        <v>46</v>
      </c>
      <c r="U407" t="s">
        <v>54</v>
      </c>
      <c r="V407" t="s">
        <v>55</v>
      </c>
      <c r="W407" t="s">
        <v>192</v>
      </c>
      <c r="X407" t="s">
        <v>292</v>
      </c>
      <c r="Y407">
        <v>1.36</v>
      </c>
      <c r="Z407" t="s">
        <v>46</v>
      </c>
      <c r="AA407" t="s">
        <v>58</v>
      </c>
      <c r="AB407" t="s">
        <v>59</v>
      </c>
      <c r="AC407">
        <v>283</v>
      </c>
      <c r="AD407" t="s">
        <v>46</v>
      </c>
      <c r="AE407" t="s">
        <v>60</v>
      </c>
      <c r="AF407" t="s">
        <v>45</v>
      </c>
      <c r="AG407" t="s">
        <v>46</v>
      </c>
      <c r="AH407" t="s">
        <v>61</v>
      </c>
      <c r="AI407" t="s">
        <v>48</v>
      </c>
      <c r="AJ407" t="s">
        <v>62</v>
      </c>
      <c r="AK407" t="s">
        <v>63</v>
      </c>
      <c r="AL407" t="s">
        <v>376</v>
      </c>
      <c r="AM407" t="s">
        <v>46</v>
      </c>
      <c r="AN407" t="s">
        <v>60</v>
      </c>
      <c r="AO407" t="s">
        <v>62</v>
      </c>
      <c r="AP407" t="s">
        <v>728</v>
      </c>
      <c r="AQ407" t="s">
        <v>66</v>
      </c>
      <c r="AR407" t="s">
        <v>67</v>
      </c>
    </row>
    <row r="408" spans="1:44">
      <c r="A408" s="1">
        <v>45427</v>
      </c>
      <c r="B408" s="2">
        <v>0.25245370370370368</v>
      </c>
      <c r="C408" t="s">
        <v>44</v>
      </c>
      <c r="D408" t="s">
        <v>45</v>
      </c>
      <c r="E408">
        <v>0.75</v>
      </c>
      <c r="F408" t="s">
        <v>46</v>
      </c>
      <c r="G408" t="s">
        <v>47</v>
      </c>
      <c r="H408" t="s">
        <v>45</v>
      </c>
      <c r="I408">
        <v>0.31119999999999998</v>
      </c>
      <c r="J408" t="s">
        <v>46</v>
      </c>
      <c r="K408" t="s">
        <v>48</v>
      </c>
      <c r="L408" t="s">
        <v>49</v>
      </c>
      <c r="M408" t="s">
        <v>50</v>
      </c>
      <c r="N408" t="s">
        <v>51</v>
      </c>
      <c r="O408">
        <v>3.45</v>
      </c>
      <c r="P408">
        <v>8.26</v>
      </c>
      <c r="Q408" t="s">
        <v>46</v>
      </c>
      <c r="R408" t="s">
        <v>52</v>
      </c>
      <c r="S408" t="s">
        <v>53</v>
      </c>
      <c r="T408" t="s">
        <v>46</v>
      </c>
      <c r="U408" t="s">
        <v>54</v>
      </c>
      <c r="V408" t="s">
        <v>55</v>
      </c>
      <c r="W408" t="s">
        <v>188</v>
      </c>
      <c r="X408" t="s">
        <v>328</v>
      </c>
      <c r="Y408">
        <v>1.35</v>
      </c>
      <c r="Z408" t="s">
        <v>46</v>
      </c>
      <c r="AA408" t="s">
        <v>58</v>
      </c>
      <c r="AB408" t="s">
        <v>59</v>
      </c>
      <c r="AC408">
        <v>283</v>
      </c>
      <c r="AD408" t="s">
        <v>46</v>
      </c>
      <c r="AE408" t="s">
        <v>60</v>
      </c>
      <c r="AF408" t="s">
        <v>45</v>
      </c>
      <c r="AG408" t="s">
        <v>46</v>
      </c>
      <c r="AH408" t="s">
        <v>61</v>
      </c>
      <c r="AI408" t="s">
        <v>48</v>
      </c>
      <c r="AJ408" t="s">
        <v>62</v>
      </c>
      <c r="AK408" t="s">
        <v>63</v>
      </c>
      <c r="AL408" t="s">
        <v>376</v>
      </c>
      <c r="AM408" t="s">
        <v>46</v>
      </c>
      <c r="AN408" t="s">
        <v>60</v>
      </c>
      <c r="AO408" t="s">
        <v>62</v>
      </c>
      <c r="AP408" t="s">
        <v>729</v>
      </c>
      <c r="AQ408" t="s">
        <v>66</v>
      </c>
      <c r="AR408" t="s">
        <v>67</v>
      </c>
    </row>
    <row r="409" spans="1:44">
      <c r="A409" s="1">
        <v>45427</v>
      </c>
      <c r="B409" s="2">
        <v>0.2525</v>
      </c>
      <c r="C409" t="s">
        <v>44</v>
      </c>
      <c r="D409" t="s">
        <v>45</v>
      </c>
      <c r="E409">
        <v>0.54800000000000004</v>
      </c>
      <c r="F409" t="s">
        <v>46</v>
      </c>
      <c r="G409" t="s">
        <v>47</v>
      </c>
      <c r="H409" t="s">
        <v>45</v>
      </c>
      <c r="I409">
        <v>0.31130000000000002</v>
      </c>
      <c r="J409" t="s">
        <v>46</v>
      </c>
      <c r="K409" t="s">
        <v>48</v>
      </c>
      <c r="L409" t="s">
        <v>49</v>
      </c>
      <c r="M409" t="s">
        <v>50</v>
      </c>
      <c r="N409" t="s">
        <v>51</v>
      </c>
      <c r="O409">
        <v>3.45</v>
      </c>
      <c r="P409">
        <v>8.26</v>
      </c>
      <c r="Q409" t="s">
        <v>46</v>
      </c>
      <c r="R409" t="s">
        <v>52</v>
      </c>
      <c r="S409" t="s">
        <v>53</v>
      </c>
      <c r="T409" t="s">
        <v>46</v>
      </c>
      <c r="U409" t="s">
        <v>54</v>
      </c>
      <c r="V409" t="s">
        <v>55</v>
      </c>
      <c r="W409" t="s">
        <v>292</v>
      </c>
      <c r="X409" t="s">
        <v>328</v>
      </c>
      <c r="Y409">
        <v>1.35</v>
      </c>
      <c r="Z409" t="s">
        <v>46</v>
      </c>
      <c r="AA409" t="s">
        <v>58</v>
      </c>
      <c r="AB409" t="s">
        <v>59</v>
      </c>
      <c r="AC409">
        <v>283</v>
      </c>
      <c r="AD409" t="s">
        <v>46</v>
      </c>
      <c r="AE409" t="s">
        <v>60</v>
      </c>
      <c r="AF409" t="s">
        <v>45</v>
      </c>
      <c r="AG409" t="s">
        <v>46</v>
      </c>
      <c r="AH409" t="s">
        <v>61</v>
      </c>
      <c r="AI409" t="s">
        <v>48</v>
      </c>
      <c r="AJ409" t="s">
        <v>62</v>
      </c>
      <c r="AK409" t="s">
        <v>63</v>
      </c>
      <c r="AL409" t="s">
        <v>376</v>
      </c>
      <c r="AM409" t="s">
        <v>46</v>
      </c>
      <c r="AN409" t="s">
        <v>60</v>
      </c>
      <c r="AO409" t="s">
        <v>62</v>
      </c>
      <c r="AP409" t="s">
        <v>730</v>
      </c>
      <c r="AQ409" t="s">
        <v>66</v>
      </c>
      <c r="AR409" t="s">
        <v>67</v>
      </c>
    </row>
    <row r="410" spans="1:44">
      <c r="A410" s="1">
        <v>45427</v>
      </c>
      <c r="B410" s="2">
        <v>0.25254629629629627</v>
      </c>
      <c r="C410" t="s">
        <v>44</v>
      </c>
      <c r="D410" t="s">
        <v>45</v>
      </c>
      <c r="E410">
        <v>0.53100000000000003</v>
      </c>
      <c r="F410" t="s">
        <v>46</v>
      </c>
      <c r="G410" t="s">
        <v>47</v>
      </c>
      <c r="H410" t="s">
        <v>45</v>
      </c>
      <c r="I410">
        <v>0.31130000000000002</v>
      </c>
      <c r="J410" t="s">
        <v>46</v>
      </c>
      <c r="K410" t="s">
        <v>48</v>
      </c>
      <c r="L410" t="s">
        <v>49</v>
      </c>
      <c r="M410" t="s">
        <v>50</v>
      </c>
      <c r="N410" t="s">
        <v>51</v>
      </c>
      <c r="O410">
        <v>3.45</v>
      </c>
      <c r="P410">
        <v>8.26</v>
      </c>
      <c r="Q410" t="s">
        <v>46</v>
      </c>
      <c r="R410" t="s">
        <v>52</v>
      </c>
      <c r="S410" t="s">
        <v>53</v>
      </c>
      <c r="T410" t="s">
        <v>46</v>
      </c>
      <c r="U410" t="s">
        <v>54</v>
      </c>
      <c r="V410" t="s">
        <v>55</v>
      </c>
      <c r="W410" t="s">
        <v>82</v>
      </c>
      <c r="X410" t="s">
        <v>68</v>
      </c>
      <c r="Y410">
        <v>1.35</v>
      </c>
      <c r="Z410" t="s">
        <v>46</v>
      </c>
      <c r="AA410" t="s">
        <v>58</v>
      </c>
      <c r="AB410" t="s">
        <v>59</v>
      </c>
      <c r="AC410">
        <v>283</v>
      </c>
      <c r="AD410" t="s">
        <v>46</v>
      </c>
      <c r="AE410" t="s">
        <v>60</v>
      </c>
      <c r="AF410" t="s">
        <v>45</v>
      </c>
      <c r="AG410" t="s">
        <v>46</v>
      </c>
      <c r="AH410" t="s">
        <v>61</v>
      </c>
      <c r="AI410" t="s">
        <v>48</v>
      </c>
      <c r="AJ410" t="s">
        <v>62</v>
      </c>
      <c r="AK410" t="s">
        <v>63</v>
      </c>
      <c r="AL410" t="s">
        <v>376</v>
      </c>
      <c r="AM410" t="s">
        <v>46</v>
      </c>
      <c r="AN410" t="s">
        <v>60</v>
      </c>
      <c r="AO410" t="s">
        <v>62</v>
      </c>
      <c r="AP410" t="s">
        <v>731</v>
      </c>
      <c r="AQ410" t="s">
        <v>66</v>
      </c>
      <c r="AR410" t="s">
        <v>67</v>
      </c>
    </row>
    <row r="411" spans="1:44">
      <c r="A411" s="1">
        <v>45427</v>
      </c>
      <c r="B411" s="2">
        <v>0.25259259259259259</v>
      </c>
      <c r="C411" t="s">
        <v>44</v>
      </c>
      <c r="D411" t="s">
        <v>45</v>
      </c>
      <c r="E411">
        <v>0.74199999999999999</v>
      </c>
      <c r="F411" t="s">
        <v>46</v>
      </c>
      <c r="G411" t="s">
        <v>47</v>
      </c>
      <c r="H411" t="s">
        <v>45</v>
      </c>
      <c r="I411">
        <v>0.31159999999999999</v>
      </c>
      <c r="J411" t="s">
        <v>46</v>
      </c>
      <c r="K411" t="s">
        <v>48</v>
      </c>
      <c r="L411" t="s">
        <v>49</v>
      </c>
      <c r="M411" t="s">
        <v>50</v>
      </c>
      <c r="N411" t="s">
        <v>51</v>
      </c>
      <c r="O411">
        <v>3.45</v>
      </c>
      <c r="P411">
        <v>8.26</v>
      </c>
      <c r="Q411" t="s">
        <v>46</v>
      </c>
      <c r="R411" t="s">
        <v>52</v>
      </c>
      <c r="S411" t="s">
        <v>53</v>
      </c>
      <c r="T411" t="s">
        <v>46</v>
      </c>
      <c r="U411" t="s">
        <v>54</v>
      </c>
      <c r="V411" t="s">
        <v>55</v>
      </c>
      <c r="W411" t="s">
        <v>195</v>
      </c>
      <c r="X411" t="s">
        <v>68</v>
      </c>
      <c r="Y411">
        <v>1.35</v>
      </c>
      <c r="Z411" t="s">
        <v>46</v>
      </c>
      <c r="AA411" t="s">
        <v>58</v>
      </c>
      <c r="AB411" t="s">
        <v>59</v>
      </c>
      <c r="AC411">
        <v>283</v>
      </c>
      <c r="AD411" t="s">
        <v>46</v>
      </c>
      <c r="AE411" t="s">
        <v>60</v>
      </c>
      <c r="AF411" t="s">
        <v>45</v>
      </c>
      <c r="AG411" t="s">
        <v>46</v>
      </c>
      <c r="AH411" t="s">
        <v>61</v>
      </c>
      <c r="AI411" t="s">
        <v>48</v>
      </c>
      <c r="AJ411" t="s">
        <v>62</v>
      </c>
      <c r="AK411" t="s">
        <v>63</v>
      </c>
      <c r="AL411" t="s">
        <v>376</v>
      </c>
      <c r="AM411" t="s">
        <v>46</v>
      </c>
      <c r="AN411" t="s">
        <v>60</v>
      </c>
      <c r="AO411" t="s">
        <v>62</v>
      </c>
      <c r="AP411" t="s">
        <v>732</v>
      </c>
      <c r="AQ411" t="s">
        <v>66</v>
      </c>
      <c r="AR411" t="s">
        <v>67</v>
      </c>
    </row>
    <row r="412" spans="1:44">
      <c r="A412" s="1"/>
      <c r="B412" s="2"/>
      <c r="E412" s="3">
        <f>AVERAGE(log_v1_051524_tc_4[Column5])</f>
        <v>0.63566097560975587</v>
      </c>
      <c r="F412" s="3"/>
      <c r="G412" s="3"/>
      <c r="H412" s="3"/>
      <c r="I412" s="3">
        <f>AVERAGE(log_v1_051524_tc_4[Column9])</f>
        <v>0.3086190243902438</v>
      </c>
      <c r="O412">
        <f>AVERAGE(log_v1_051524_tc_4[Column15])</f>
        <v>3.4500000000000259</v>
      </c>
      <c r="P412">
        <f>AVERAGE(log_v1_051524_tc_4[Column16])</f>
        <v>8.2620000000000804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815A-3506-4872-974B-019A14CB5EF2}">
  <dimension ref="A1:AR32"/>
  <sheetViews>
    <sheetView tabSelected="1" topLeftCell="H9" workbookViewId="0">
      <selection activeCell="O32" sqref="O32:P32"/>
    </sheetView>
  </sheetViews>
  <sheetFormatPr defaultRowHeight="14.45"/>
  <cols>
    <col min="1" max="9" width="10.7109375" bestFit="1" customWidth="1"/>
    <col min="10" max="41" width="11.7109375" bestFit="1" customWidth="1"/>
    <col min="42" max="42" width="25.7109375" bestFit="1" customWidth="1"/>
    <col min="43" max="44" width="11.7109375" bestFit="1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>
        <v>45427</v>
      </c>
      <c r="B2" s="2">
        <v>0.25436342592592592</v>
      </c>
      <c r="C2" t="s">
        <v>44</v>
      </c>
      <c r="D2" t="s">
        <v>45</v>
      </c>
      <c r="E2">
        <v>0.42099999999999999</v>
      </c>
      <c r="F2" t="s">
        <v>46</v>
      </c>
      <c r="G2" t="s">
        <v>47</v>
      </c>
      <c r="H2" t="s">
        <v>45</v>
      </c>
      <c r="I2">
        <v>0.31230000000000002</v>
      </c>
      <c r="J2" t="s">
        <v>46</v>
      </c>
      <c r="K2" t="s">
        <v>48</v>
      </c>
      <c r="L2" t="s">
        <v>49</v>
      </c>
      <c r="M2" t="s">
        <v>50</v>
      </c>
      <c r="N2" t="s">
        <v>51</v>
      </c>
      <c r="O2">
        <v>3.45</v>
      </c>
      <c r="P2">
        <v>8.26</v>
      </c>
      <c r="Q2" t="s">
        <v>46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217</v>
      </c>
      <c r="X2" t="s">
        <v>212</v>
      </c>
      <c r="Y2">
        <v>1.1599999999999999</v>
      </c>
      <c r="Z2" t="s">
        <v>46</v>
      </c>
      <c r="AA2" t="s">
        <v>58</v>
      </c>
      <c r="AB2" t="s">
        <v>59</v>
      </c>
      <c r="AC2">
        <v>283</v>
      </c>
      <c r="AD2" t="s">
        <v>46</v>
      </c>
      <c r="AE2" t="s">
        <v>60</v>
      </c>
      <c r="AF2" t="s">
        <v>45</v>
      </c>
      <c r="AG2" t="s">
        <v>46</v>
      </c>
      <c r="AH2" t="s">
        <v>61</v>
      </c>
      <c r="AI2" t="s">
        <v>48</v>
      </c>
      <c r="AJ2" t="s">
        <v>62</v>
      </c>
      <c r="AK2" t="s">
        <v>63</v>
      </c>
      <c r="AL2" t="s">
        <v>376</v>
      </c>
      <c r="AM2" t="s">
        <v>46</v>
      </c>
      <c r="AN2" t="s">
        <v>60</v>
      </c>
      <c r="AO2" t="s">
        <v>62</v>
      </c>
      <c r="AP2" t="s">
        <v>733</v>
      </c>
      <c r="AQ2" t="s">
        <v>66</v>
      </c>
      <c r="AR2" t="s">
        <v>67</v>
      </c>
    </row>
    <row r="3" spans="1:44">
      <c r="A3" s="1">
        <v>45427</v>
      </c>
      <c r="B3" s="2">
        <v>0.25442129629629628</v>
      </c>
      <c r="C3" t="s">
        <v>44</v>
      </c>
      <c r="D3" t="s">
        <v>45</v>
      </c>
      <c r="E3">
        <v>0.5</v>
      </c>
      <c r="F3" t="s">
        <v>46</v>
      </c>
      <c r="G3" t="s">
        <v>47</v>
      </c>
      <c r="H3" t="s">
        <v>45</v>
      </c>
      <c r="I3">
        <v>0.31230000000000002</v>
      </c>
      <c r="J3" t="s">
        <v>46</v>
      </c>
      <c r="K3" t="s">
        <v>48</v>
      </c>
      <c r="L3" t="s">
        <v>49</v>
      </c>
      <c r="M3" t="s">
        <v>50</v>
      </c>
      <c r="N3" t="s">
        <v>51</v>
      </c>
      <c r="O3">
        <v>3.45</v>
      </c>
      <c r="P3">
        <v>8.26</v>
      </c>
      <c r="Q3" t="s">
        <v>46</v>
      </c>
      <c r="R3" t="s">
        <v>52</v>
      </c>
      <c r="S3" t="s">
        <v>53</v>
      </c>
      <c r="T3" t="s">
        <v>46</v>
      </c>
      <c r="U3" t="s">
        <v>54</v>
      </c>
      <c r="V3" t="s">
        <v>55</v>
      </c>
      <c r="W3" t="s">
        <v>734</v>
      </c>
      <c r="X3" t="s">
        <v>735</v>
      </c>
      <c r="Y3">
        <v>1.1499999999999999</v>
      </c>
      <c r="Z3" t="s">
        <v>46</v>
      </c>
      <c r="AA3" t="s">
        <v>58</v>
      </c>
      <c r="AB3" t="s">
        <v>59</v>
      </c>
      <c r="AC3">
        <v>284</v>
      </c>
      <c r="AD3" t="s">
        <v>46</v>
      </c>
      <c r="AE3" t="s">
        <v>60</v>
      </c>
      <c r="AF3" t="s">
        <v>45</v>
      </c>
      <c r="AG3" t="s">
        <v>46</v>
      </c>
      <c r="AH3" t="s">
        <v>61</v>
      </c>
      <c r="AI3" t="s">
        <v>48</v>
      </c>
      <c r="AJ3" t="s">
        <v>62</v>
      </c>
      <c r="AK3" t="s">
        <v>63</v>
      </c>
      <c r="AL3" t="s">
        <v>376</v>
      </c>
      <c r="AM3" t="s">
        <v>46</v>
      </c>
      <c r="AN3" t="s">
        <v>60</v>
      </c>
      <c r="AO3" t="s">
        <v>62</v>
      </c>
      <c r="AP3" t="s">
        <v>736</v>
      </c>
      <c r="AQ3" t="s">
        <v>66</v>
      </c>
      <c r="AR3" t="s">
        <v>67</v>
      </c>
    </row>
    <row r="4" spans="1:44">
      <c r="A4" s="1">
        <v>45427</v>
      </c>
      <c r="B4" s="2">
        <v>0.25446759259259261</v>
      </c>
      <c r="C4" t="s">
        <v>44</v>
      </c>
      <c r="D4" t="s">
        <v>45</v>
      </c>
      <c r="E4">
        <v>0.69699999999999995</v>
      </c>
      <c r="F4" t="s">
        <v>46</v>
      </c>
      <c r="G4" t="s">
        <v>47</v>
      </c>
      <c r="H4" t="s">
        <v>45</v>
      </c>
      <c r="I4">
        <v>0.312</v>
      </c>
      <c r="J4" t="s">
        <v>46</v>
      </c>
      <c r="K4" t="s">
        <v>48</v>
      </c>
      <c r="L4" t="s">
        <v>49</v>
      </c>
      <c r="M4" t="s">
        <v>50</v>
      </c>
      <c r="N4" t="s">
        <v>51</v>
      </c>
      <c r="O4">
        <v>3.45</v>
      </c>
      <c r="P4">
        <v>8.26</v>
      </c>
      <c r="Q4" t="s">
        <v>46</v>
      </c>
      <c r="R4" t="s">
        <v>52</v>
      </c>
      <c r="S4" t="s">
        <v>53</v>
      </c>
      <c r="T4" t="s">
        <v>46</v>
      </c>
      <c r="U4" t="s">
        <v>54</v>
      </c>
      <c r="V4" t="s">
        <v>55</v>
      </c>
      <c r="W4" t="s">
        <v>254</v>
      </c>
      <c r="X4" t="s">
        <v>212</v>
      </c>
      <c r="Y4">
        <v>1.1599999999999999</v>
      </c>
      <c r="Z4" t="s">
        <v>46</v>
      </c>
      <c r="AA4" t="s">
        <v>58</v>
      </c>
      <c r="AB4" t="s">
        <v>59</v>
      </c>
      <c r="AC4">
        <v>285</v>
      </c>
      <c r="AD4" t="s">
        <v>46</v>
      </c>
      <c r="AE4" t="s">
        <v>60</v>
      </c>
      <c r="AF4" t="s">
        <v>45</v>
      </c>
      <c r="AG4" t="s">
        <v>46</v>
      </c>
      <c r="AH4" t="s">
        <v>61</v>
      </c>
      <c r="AI4" t="s">
        <v>48</v>
      </c>
      <c r="AJ4" t="s">
        <v>62</v>
      </c>
      <c r="AK4" t="s">
        <v>63</v>
      </c>
      <c r="AL4" t="s">
        <v>376</v>
      </c>
      <c r="AM4" t="s">
        <v>46</v>
      </c>
      <c r="AN4" t="s">
        <v>60</v>
      </c>
      <c r="AO4" t="s">
        <v>62</v>
      </c>
      <c r="AP4" t="s">
        <v>737</v>
      </c>
      <c r="AQ4" t="s">
        <v>66</v>
      </c>
      <c r="AR4" t="s">
        <v>67</v>
      </c>
    </row>
    <row r="5" spans="1:44">
      <c r="A5" s="1">
        <v>45427</v>
      </c>
      <c r="B5" s="2">
        <v>0.25451388888888887</v>
      </c>
      <c r="C5" t="s">
        <v>44</v>
      </c>
      <c r="D5" t="s">
        <v>45</v>
      </c>
      <c r="E5">
        <v>0.25</v>
      </c>
      <c r="F5" t="s">
        <v>46</v>
      </c>
      <c r="G5" t="s">
        <v>47</v>
      </c>
      <c r="H5" t="s">
        <v>45</v>
      </c>
      <c r="I5">
        <v>0.31230000000000002</v>
      </c>
      <c r="J5" t="s">
        <v>46</v>
      </c>
      <c r="K5" t="s">
        <v>48</v>
      </c>
      <c r="L5" t="s">
        <v>49</v>
      </c>
      <c r="M5" t="s">
        <v>50</v>
      </c>
      <c r="N5" t="s">
        <v>51</v>
      </c>
      <c r="O5">
        <v>3.45</v>
      </c>
      <c r="P5">
        <v>8.26</v>
      </c>
      <c r="Q5" t="s">
        <v>46</v>
      </c>
      <c r="R5" t="s">
        <v>52</v>
      </c>
      <c r="S5" t="s">
        <v>53</v>
      </c>
      <c r="T5" t="s">
        <v>46</v>
      </c>
      <c r="U5" t="s">
        <v>54</v>
      </c>
      <c r="V5" t="s">
        <v>55</v>
      </c>
      <c r="W5" t="s">
        <v>232</v>
      </c>
      <c r="X5" t="s">
        <v>285</v>
      </c>
      <c r="Y5">
        <v>1.1599999999999999</v>
      </c>
      <c r="Z5" t="s">
        <v>46</v>
      </c>
      <c r="AA5" t="s">
        <v>58</v>
      </c>
      <c r="AB5" t="s">
        <v>59</v>
      </c>
      <c r="AC5">
        <v>285</v>
      </c>
      <c r="AD5" t="s">
        <v>46</v>
      </c>
      <c r="AE5" t="s">
        <v>60</v>
      </c>
      <c r="AF5" t="s">
        <v>45</v>
      </c>
      <c r="AG5" t="s">
        <v>46</v>
      </c>
      <c r="AH5" t="s">
        <v>61</v>
      </c>
      <c r="AI5" t="s">
        <v>48</v>
      </c>
      <c r="AJ5" t="s">
        <v>62</v>
      </c>
      <c r="AK5" t="s">
        <v>63</v>
      </c>
      <c r="AL5" t="s">
        <v>376</v>
      </c>
      <c r="AM5" t="s">
        <v>46</v>
      </c>
      <c r="AN5" t="s">
        <v>60</v>
      </c>
      <c r="AO5" t="s">
        <v>62</v>
      </c>
      <c r="AP5" t="s">
        <v>738</v>
      </c>
      <c r="AQ5" t="s">
        <v>66</v>
      </c>
      <c r="AR5" t="s">
        <v>67</v>
      </c>
    </row>
    <row r="6" spans="1:44">
      <c r="A6" s="1">
        <v>45427</v>
      </c>
      <c r="B6" s="2">
        <v>0.25456018518518519</v>
      </c>
      <c r="C6" t="s">
        <v>44</v>
      </c>
      <c r="D6" t="s">
        <v>45</v>
      </c>
      <c r="E6">
        <v>0.46899999999999997</v>
      </c>
      <c r="F6" t="s">
        <v>46</v>
      </c>
      <c r="G6" t="s">
        <v>47</v>
      </c>
      <c r="H6" t="s">
        <v>45</v>
      </c>
      <c r="I6">
        <v>0.3125</v>
      </c>
      <c r="J6" t="s">
        <v>46</v>
      </c>
      <c r="K6" t="s">
        <v>48</v>
      </c>
      <c r="L6" t="s">
        <v>49</v>
      </c>
      <c r="M6" t="s">
        <v>50</v>
      </c>
      <c r="N6" t="s">
        <v>51</v>
      </c>
      <c r="O6">
        <v>3.45</v>
      </c>
      <c r="P6">
        <v>8.26</v>
      </c>
      <c r="Q6" t="s">
        <v>46</v>
      </c>
      <c r="R6" t="s">
        <v>52</v>
      </c>
      <c r="S6" t="s">
        <v>53</v>
      </c>
      <c r="T6" t="s">
        <v>46</v>
      </c>
      <c r="U6" t="s">
        <v>54</v>
      </c>
      <c r="V6" t="s">
        <v>55</v>
      </c>
      <c r="W6" t="s">
        <v>739</v>
      </c>
      <c r="X6" t="s">
        <v>285</v>
      </c>
      <c r="Y6">
        <v>1.1599999999999999</v>
      </c>
      <c r="Z6" t="s">
        <v>46</v>
      </c>
      <c r="AA6" t="s">
        <v>58</v>
      </c>
      <c r="AB6" t="s">
        <v>59</v>
      </c>
      <c r="AC6">
        <v>285</v>
      </c>
      <c r="AD6" t="s">
        <v>46</v>
      </c>
      <c r="AE6" t="s">
        <v>60</v>
      </c>
      <c r="AF6" t="s">
        <v>45</v>
      </c>
      <c r="AG6" t="s">
        <v>46</v>
      </c>
      <c r="AH6" t="s">
        <v>61</v>
      </c>
      <c r="AI6" t="s">
        <v>48</v>
      </c>
      <c r="AJ6" t="s">
        <v>62</v>
      </c>
      <c r="AK6" t="s">
        <v>63</v>
      </c>
      <c r="AL6" t="s">
        <v>376</v>
      </c>
      <c r="AM6" t="s">
        <v>46</v>
      </c>
      <c r="AN6" t="s">
        <v>60</v>
      </c>
      <c r="AO6" t="s">
        <v>62</v>
      </c>
      <c r="AP6" t="s">
        <v>740</v>
      </c>
      <c r="AQ6" t="s">
        <v>66</v>
      </c>
      <c r="AR6" t="s">
        <v>67</v>
      </c>
    </row>
    <row r="7" spans="1:44">
      <c r="A7" s="1">
        <v>45427</v>
      </c>
      <c r="B7" s="2">
        <v>0.25461805555555556</v>
      </c>
      <c r="C7" t="s">
        <v>44</v>
      </c>
      <c r="D7" t="s">
        <v>45</v>
      </c>
      <c r="E7">
        <v>0.65700000000000003</v>
      </c>
      <c r="F7" t="s">
        <v>46</v>
      </c>
      <c r="G7" t="s">
        <v>47</v>
      </c>
      <c r="H7" t="s">
        <v>45</v>
      </c>
      <c r="I7">
        <v>0.3115</v>
      </c>
      <c r="J7" t="s">
        <v>46</v>
      </c>
      <c r="K7" t="s">
        <v>48</v>
      </c>
      <c r="L7" t="s">
        <v>49</v>
      </c>
      <c r="M7" t="s">
        <v>50</v>
      </c>
      <c r="N7" t="s">
        <v>51</v>
      </c>
      <c r="O7">
        <v>3.45</v>
      </c>
      <c r="P7">
        <v>8.26</v>
      </c>
      <c r="Q7" t="s">
        <v>46</v>
      </c>
      <c r="R7" t="s">
        <v>52</v>
      </c>
      <c r="S7" t="s">
        <v>53</v>
      </c>
      <c r="T7" t="s">
        <v>46</v>
      </c>
      <c r="U7" t="s">
        <v>54</v>
      </c>
      <c r="V7" t="s">
        <v>55</v>
      </c>
      <c r="W7" t="s">
        <v>741</v>
      </c>
      <c r="X7" t="s">
        <v>286</v>
      </c>
      <c r="Y7">
        <v>1.1499999999999999</v>
      </c>
      <c r="Z7" t="s">
        <v>46</v>
      </c>
      <c r="AA7" t="s">
        <v>58</v>
      </c>
      <c r="AB7" t="s">
        <v>59</v>
      </c>
      <c r="AC7">
        <v>286</v>
      </c>
      <c r="AD7" t="s">
        <v>46</v>
      </c>
      <c r="AE7" t="s">
        <v>60</v>
      </c>
      <c r="AF7" t="s">
        <v>45</v>
      </c>
      <c r="AG7" t="s">
        <v>46</v>
      </c>
      <c r="AH7" t="s">
        <v>61</v>
      </c>
      <c r="AI7" t="s">
        <v>48</v>
      </c>
      <c r="AJ7" t="s">
        <v>62</v>
      </c>
      <c r="AK7" t="s">
        <v>63</v>
      </c>
      <c r="AL7" t="s">
        <v>376</v>
      </c>
      <c r="AM7" t="s">
        <v>46</v>
      </c>
      <c r="AN7" t="s">
        <v>60</v>
      </c>
      <c r="AO7" t="s">
        <v>62</v>
      </c>
      <c r="AP7" t="s">
        <v>742</v>
      </c>
      <c r="AQ7" t="s">
        <v>66</v>
      </c>
      <c r="AR7" t="s">
        <v>67</v>
      </c>
    </row>
    <row r="8" spans="1:44">
      <c r="A8" s="1">
        <v>45427</v>
      </c>
      <c r="B8" s="2">
        <v>0.25466435185185188</v>
      </c>
      <c r="C8" t="s">
        <v>44</v>
      </c>
      <c r="D8" t="s">
        <v>45</v>
      </c>
      <c r="E8">
        <v>0.27300000000000002</v>
      </c>
      <c r="F8" t="s">
        <v>46</v>
      </c>
      <c r="G8" t="s">
        <v>47</v>
      </c>
      <c r="H8" t="s">
        <v>45</v>
      </c>
      <c r="I8">
        <v>0.31169999999999998</v>
      </c>
      <c r="J8" t="s">
        <v>46</v>
      </c>
      <c r="K8" t="s">
        <v>48</v>
      </c>
      <c r="L8" t="s">
        <v>49</v>
      </c>
      <c r="M8" t="s">
        <v>50</v>
      </c>
      <c r="N8" t="s">
        <v>51</v>
      </c>
      <c r="O8">
        <v>3.45</v>
      </c>
      <c r="P8">
        <v>8.26</v>
      </c>
      <c r="Q8" t="s">
        <v>46</v>
      </c>
      <c r="R8" t="s">
        <v>52</v>
      </c>
      <c r="S8" t="s">
        <v>53</v>
      </c>
      <c r="T8" t="s">
        <v>46</v>
      </c>
      <c r="U8" t="s">
        <v>54</v>
      </c>
      <c r="V8" t="s">
        <v>55</v>
      </c>
      <c r="W8" t="s">
        <v>741</v>
      </c>
      <c r="X8" t="s">
        <v>286</v>
      </c>
      <c r="Y8">
        <v>1.1499999999999999</v>
      </c>
      <c r="Z8" t="s">
        <v>46</v>
      </c>
      <c r="AA8" t="s">
        <v>58</v>
      </c>
      <c r="AB8" t="s">
        <v>59</v>
      </c>
      <c r="AC8">
        <v>285</v>
      </c>
      <c r="AD8" t="s">
        <v>46</v>
      </c>
      <c r="AE8" t="s">
        <v>60</v>
      </c>
      <c r="AF8" t="s">
        <v>45</v>
      </c>
      <c r="AG8" t="s">
        <v>46</v>
      </c>
      <c r="AH8" t="s">
        <v>61</v>
      </c>
      <c r="AI8" t="s">
        <v>48</v>
      </c>
      <c r="AJ8" t="s">
        <v>62</v>
      </c>
      <c r="AK8" t="s">
        <v>63</v>
      </c>
      <c r="AL8" t="s">
        <v>376</v>
      </c>
      <c r="AM8" t="s">
        <v>46</v>
      </c>
      <c r="AN8" t="s">
        <v>60</v>
      </c>
      <c r="AO8" t="s">
        <v>62</v>
      </c>
      <c r="AP8" t="s">
        <v>743</v>
      </c>
      <c r="AQ8" t="s">
        <v>66</v>
      </c>
      <c r="AR8" t="s">
        <v>67</v>
      </c>
    </row>
    <row r="9" spans="1:44">
      <c r="A9" s="1">
        <v>45427</v>
      </c>
      <c r="B9" s="2">
        <v>0.25471064814814814</v>
      </c>
      <c r="C9" t="s">
        <v>44</v>
      </c>
      <c r="D9" t="s">
        <v>45</v>
      </c>
      <c r="E9">
        <v>0.94099999999999995</v>
      </c>
      <c r="F9" t="s">
        <v>46</v>
      </c>
      <c r="G9" t="s">
        <v>47</v>
      </c>
      <c r="H9" t="s">
        <v>45</v>
      </c>
      <c r="I9">
        <v>0.31169999999999998</v>
      </c>
      <c r="J9" t="s">
        <v>46</v>
      </c>
      <c r="K9" t="s">
        <v>48</v>
      </c>
      <c r="L9" t="s">
        <v>49</v>
      </c>
      <c r="M9" t="s">
        <v>50</v>
      </c>
      <c r="N9" t="s">
        <v>51</v>
      </c>
      <c r="O9">
        <v>3.45</v>
      </c>
      <c r="P9">
        <v>8.26</v>
      </c>
      <c r="Q9" t="s">
        <v>46</v>
      </c>
      <c r="R9" t="s">
        <v>52</v>
      </c>
      <c r="S9" t="s">
        <v>53</v>
      </c>
      <c r="T9" t="s">
        <v>46</v>
      </c>
      <c r="U9" t="s">
        <v>54</v>
      </c>
      <c r="V9" t="s">
        <v>55</v>
      </c>
      <c r="W9" t="s">
        <v>252</v>
      </c>
      <c r="X9" t="s">
        <v>735</v>
      </c>
      <c r="Y9">
        <v>1.1399999999999999</v>
      </c>
      <c r="Z9" t="s">
        <v>46</v>
      </c>
      <c r="AA9" t="s">
        <v>58</v>
      </c>
      <c r="AB9" t="s">
        <v>59</v>
      </c>
      <c r="AC9">
        <v>285</v>
      </c>
      <c r="AD9" t="s">
        <v>46</v>
      </c>
      <c r="AE9" t="s">
        <v>60</v>
      </c>
      <c r="AF9" t="s">
        <v>45</v>
      </c>
      <c r="AG9" t="s">
        <v>46</v>
      </c>
      <c r="AH9" t="s">
        <v>61</v>
      </c>
      <c r="AI9" t="s">
        <v>48</v>
      </c>
      <c r="AJ9" t="s">
        <v>62</v>
      </c>
      <c r="AK9" t="s">
        <v>63</v>
      </c>
      <c r="AL9" t="s">
        <v>376</v>
      </c>
      <c r="AM9" t="s">
        <v>46</v>
      </c>
      <c r="AN9" t="s">
        <v>60</v>
      </c>
      <c r="AO9" t="s">
        <v>62</v>
      </c>
      <c r="AP9" t="s">
        <v>744</v>
      </c>
      <c r="AQ9" t="s">
        <v>66</v>
      </c>
      <c r="AR9" t="s">
        <v>67</v>
      </c>
    </row>
    <row r="10" spans="1:44">
      <c r="A10" s="1">
        <v>45427</v>
      </c>
      <c r="B10" s="2">
        <v>0.25475694444444447</v>
      </c>
      <c r="C10" t="s">
        <v>44</v>
      </c>
      <c r="D10" t="s">
        <v>45</v>
      </c>
      <c r="E10">
        <v>0.24199999999999999</v>
      </c>
      <c r="F10" t="s">
        <v>46</v>
      </c>
      <c r="G10" t="s">
        <v>47</v>
      </c>
      <c r="H10" t="s">
        <v>45</v>
      </c>
      <c r="I10">
        <v>0.31190000000000001</v>
      </c>
      <c r="J10" t="s">
        <v>46</v>
      </c>
      <c r="K10" t="s">
        <v>48</v>
      </c>
      <c r="L10" t="s">
        <v>49</v>
      </c>
      <c r="M10" t="s">
        <v>50</v>
      </c>
      <c r="N10" t="s">
        <v>51</v>
      </c>
      <c r="O10">
        <v>3.45</v>
      </c>
      <c r="P10">
        <v>8.26</v>
      </c>
      <c r="Q10" t="s">
        <v>46</v>
      </c>
      <c r="R10" t="s">
        <v>52</v>
      </c>
      <c r="S10" t="s">
        <v>53</v>
      </c>
      <c r="T10" t="s">
        <v>46</v>
      </c>
      <c r="U10" t="s">
        <v>54</v>
      </c>
      <c r="V10" t="s">
        <v>55</v>
      </c>
      <c r="W10" t="s">
        <v>745</v>
      </c>
      <c r="X10" t="s">
        <v>735</v>
      </c>
      <c r="Y10">
        <v>1.1399999999999999</v>
      </c>
      <c r="Z10" t="s">
        <v>46</v>
      </c>
      <c r="AA10" t="s">
        <v>58</v>
      </c>
      <c r="AB10" t="s">
        <v>59</v>
      </c>
      <c r="AC10">
        <v>285</v>
      </c>
      <c r="AD10" t="s">
        <v>46</v>
      </c>
      <c r="AE10" t="s">
        <v>60</v>
      </c>
      <c r="AF10" t="s">
        <v>45</v>
      </c>
      <c r="AG10" t="s">
        <v>46</v>
      </c>
      <c r="AH10" t="s">
        <v>61</v>
      </c>
      <c r="AI10" t="s">
        <v>48</v>
      </c>
      <c r="AJ10" t="s">
        <v>62</v>
      </c>
      <c r="AK10" t="s">
        <v>63</v>
      </c>
      <c r="AL10" t="s">
        <v>376</v>
      </c>
      <c r="AM10" t="s">
        <v>46</v>
      </c>
      <c r="AN10" t="s">
        <v>60</v>
      </c>
      <c r="AO10" t="s">
        <v>62</v>
      </c>
      <c r="AP10" t="s">
        <v>746</v>
      </c>
      <c r="AQ10" t="s">
        <v>66</v>
      </c>
      <c r="AR10" t="s">
        <v>67</v>
      </c>
    </row>
    <row r="11" spans="1:44">
      <c r="A11" s="1">
        <v>45427</v>
      </c>
      <c r="B11" s="2">
        <v>0.25481481481481483</v>
      </c>
      <c r="C11" t="s">
        <v>44</v>
      </c>
      <c r="D11" t="s">
        <v>45</v>
      </c>
      <c r="E11">
        <v>0.26500000000000001</v>
      </c>
      <c r="F11" t="s">
        <v>46</v>
      </c>
      <c r="G11" t="s">
        <v>47</v>
      </c>
      <c r="H11" t="s">
        <v>45</v>
      </c>
      <c r="I11">
        <v>0.31269999999999998</v>
      </c>
      <c r="J11" t="s">
        <v>46</v>
      </c>
      <c r="K11" t="s">
        <v>48</v>
      </c>
      <c r="L11" t="s">
        <v>49</v>
      </c>
      <c r="M11" t="s">
        <v>50</v>
      </c>
      <c r="N11" t="s">
        <v>51</v>
      </c>
      <c r="O11">
        <v>3.45</v>
      </c>
      <c r="P11">
        <v>8.26</v>
      </c>
      <c r="Q11" t="s">
        <v>46</v>
      </c>
      <c r="R11" t="s">
        <v>52</v>
      </c>
      <c r="S11" t="s">
        <v>53</v>
      </c>
      <c r="T11" t="s">
        <v>46</v>
      </c>
      <c r="U11" t="s">
        <v>54</v>
      </c>
      <c r="V11" t="s">
        <v>55</v>
      </c>
      <c r="W11" t="s">
        <v>228</v>
      </c>
      <c r="X11" t="s">
        <v>286</v>
      </c>
      <c r="Y11">
        <v>1.1399999999999999</v>
      </c>
      <c r="Z11" t="s">
        <v>46</v>
      </c>
      <c r="AA11" t="s">
        <v>58</v>
      </c>
      <c r="AB11" t="s">
        <v>59</v>
      </c>
      <c r="AC11">
        <v>285</v>
      </c>
      <c r="AD11" t="s">
        <v>46</v>
      </c>
      <c r="AE11" t="s">
        <v>60</v>
      </c>
      <c r="AF11" t="s">
        <v>45</v>
      </c>
      <c r="AG11" t="s">
        <v>46</v>
      </c>
      <c r="AH11" t="s">
        <v>61</v>
      </c>
      <c r="AI11" t="s">
        <v>48</v>
      </c>
      <c r="AJ11" t="s">
        <v>62</v>
      </c>
      <c r="AK11" t="s">
        <v>63</v>
      </c>
      <c r="AL11" t="s">
        <v>376</v>
      </c>
      <c r="AM11" t="s">
        <v>46</v>
      </c>
      <c r="AN11" t="s">
        <v>60</v>
      </c>
      <c r="AO11" t="s">
        <v>62</v>
      </c>
      <c r="AP11" t="s">
        <v>747</v>
      </c>
      <c r="AQ11" t="s">
        <v>66</v>
      </c>
      <c r="AR11" t="s">
        <v>67</v>
      </c>
    </row>
    <row r="12" spans="1:44">
      <c r="A12" s="1">
        <v>45427</v>
      </c>
      <c r="B12" s="2">
        <v>0.25486111111111109</v>
      </c>
      <c r="C12" t="s">
        <v>44</v>
      </c>
      <c r="D12" t="s">
        <v>45</v>
      </c>
      <c r="E12">
        <v>0.54800000000000004</v>
      </c>
      <c r="F12" t="s">
        <v>46</v>
      </c>
      <c r="G12" t="s">
        <v>47</v>
      </c>
      <c r="H12" t="s">
        <v>45</v>
      </c>
      <c r="I12">
        <v>0.31509999999999999</v>
      </c>
      <c r="J12" t="s">
        <v>46</v>
      </c>
      <c r="K12" t="s">
        <v>48</v>
      </c>
      <c r="L12" t="s">
        <v>49</v>
      </c>
      <c r="M12" t="s">
        <v>50</v>
      </c>
      <c r="N12" t="s">
        <v>51</v>
      </c>
      <c r="O12">
        <v>3.45</v>
      </c>
      <c r="P12">
        <v>8.26</v>
      </c>
      <c r="Q12" t="s">
        <v>46</v>
      </c>
      <c r="R12" t="s">
        <v>52</v>
      </c>
      <c r="S12" t="s">
        <v>53</v>
      </c>
      <c r="T12" t="s">
        <v>46</v>
      </c>
      <c r="U12" t="s">
        <v>54</v>
      </c>
      <c r="V12" t="s">
        <v>55</v>
      </c>
      <c r="W12" t="s">
        <v>230</v>
      </c>
      <c r="X12" t="s">
        <v>173</v>
      </c>
      <c r="Y12">
        <v>1.1399999999999999</v>
      </c>
      <c r="Z12" t="s">
        <v>46</v>
      </c>
      <c r="AA12" t="s">
        <v>58</v>
      </c>
      <c r="AB12" t="s">
        <v>59</v>
      </c>
      <c r="AC12">
        <v>286</v>
      </c>
      <c r="AD12" t="s">
        <v>46</v>
      </c>
      <c r="AE12" t="s">
        <v>60</v>
      </c>
      <c r="AF12" t="s">
        <v>45</v>
      </c>
      <c r="AG12" t="s">
        <v>46</v>
      </c>
      <c r="AH12" t="s">
        <v>61</v>
      </c>
      <c r="AI12" t="s">
        <v>48</v>
      </c>
      <c r="AJ12" t="s">
        <v>62</v>
      </c>
      <c r="AK12" t="s">
        <v>63</v>
      </c>
      <c r="AL12" t="s">
        <v>376</v>
      </c>
      <c r="AM12" t="s">
        <v>46</v>
      </c>
      <c r="AN12" t="s">
        <v>60</v>
      </c>
      <c r="AO12" t="s">
        <v>62</v>
      </c>
      <c r="AP12" t="s">
        <v>748</v>
      </c>
      <c r="AQ12" t="s">
        <v>66</v>
      </c>
      <c r="AR12" t="s">
        <v>67</v>
      </c>
    </row>
    <row r="13" spans="1:44">
      <c r="A13" s="1">
        <v>45427</v>
      </c>
      <c r="B13" s="2">
        <v>0.25490740740740742</v>
      </c>
      <c r="C13" t="s">
        <v>44</v>
      </c>
      <c r="D13" t="s">
        <v>45</v>
      </c>
      <c r="E13">
        <v>0.156</v>
      </c>
      <c r="F13" t="s">
        <v>46</v>
      </c>
      <c r="G13" t="s">
        <v>47</v>
      </c>
      <c r="H13" t="s">
        <v>45</v>
      </c>
      <c r="I13">
        <v>0.31730000000000003</v>
      </c>
      <c r="J13" t="s">
        <v>46</v>
      </c>
      <c r="K13" t="s">
        <v>48</v>
      </c>
      <c r="L13" t="s">
        <v>49</v>
      </c>
      <c r="M13" t="s">
        <v>50</v>
      </c>
      <c r="N13" t="s">
        <v>51</v>
      </c>
      <c r="O13">
        <v>3.45</v>
      </c>
      <c r="P13">
        <v>8.26</v>
      </c>
      <c r="Q13" t="s">
        <v>46</v>
      </c>
      <c r="R13" t="s">
        <v>52</v>
      </c>
      <c r="S13" t="s">
        <v>53</v>
      </c>
      <c r="T13" t="s">
        <v>46</v>
      </c>
      <c r="U13" t="s">
        <v>54</v>
      </c>
      <c r="V13" t="s">
        <v>55</v>
      </c>
      <c r="W13" t="s">
        <v>749</v>
      </c>
      <c r="X13" t="s">
        <v>263</v>
      </c>
      <c r="Y13">
        <v>1.1499999999999999</v>
      </c>
      <c r="Z13" t="s">
        <v>46</v>
      </c>
      <c r="AA13" t="s">
        <v>58</v>
      </c>
      <c r="AB13" t="s">
        <v>59</v>
      </c>
      <c r="AC13">
        <v>286</v>
      </c>
      <c r="AD13" t="s">
        <v>46</v>
      </c>
      <c r="AE13" t="s">
        <v>60</v>
      </c>
      <c r="AF13" t="s">
        <v>45</v>
      </c>
      <c r="AG13" t="s">
        <v>46</v>
      </c>
      <c r="AH13" t="s">
        <v>61</v>
      </c>
      <c r="AI13" t="s">
        <v>48</v>
      </c>
      <c r="AJ13" t="s">
        <v>62</v>
      </c>
      <c r="AK13" t="s">
        <v>63</v>
      </c>
      <c r="AL13" t="s">
        <v>376</v>
      </c>
      <c r="AM13" t="s">
        <v>46</v>
      </c>
      <c r="AN13" t="s">
        <v>60</v>
      </c>
      <c r="AO13" t="s">
        <v>62</v>
      </c>
      <c r="AP13" t="s">
        <v>750</v>
      </c>
      <c r="AQ13" t="s">
        <v>66</v>
      </c>
      <c r="AR13" t="s">
        <v>67</v>
      </c>
    </row>
    <row r="14" spans="1:44">
      <c r="A14" s="1">
        <v>45427</v>
      </c>
      <c r="B14" s="2">
        <v>0.25495370370370368</v>
      </c>
      <c r="C14" t="s">
        <v>44</v>
      </c>
      <c r="D14" t="s">
        <v>45</v>
      </c>
      <c r="E14">
        <v>0.69699999999999995</v>
      </c>
      <c r="F14" t="s">
        <v>46</v>
      </c>
      <c r="G14" t="s">
        <v>47</v>
      </c>
      <c r="H14" t="s">
        <v>45</v>
      </c>
      <c r="I14">
        <v>0.32119999999999999</v>
      </c>
      <c r="J14" t="s">
        <v>46</v>
      </c>
      <c r="K14" t="s">
        <v>48</v>
      </c>
      <c r="L14" t="s">
        <v>49</v>
      </c>
      <c r="M14" t="s">
        <v>50</v>
      </c>
      <c r="N14" t="s">
        <v>51</v>
      </c>
      <c r="O14">
        <v>3.45</v>
      </c>
      <c r="P14">
        <v>8.26</v>
      </c>
      <c r="Q14" t="s">
        <v>46</v>
      </c>
      <c r="R14" t="s">
        <v>52</v>
      </c>
      <c r="S14" t="s">
        <v>53</v>
      </c>
      <c r="T14" t="s">
        <v>46</v>
      </c>
      <c r="U14" t="s">
        <v>54</v>
      </c>
      <c r="V14" t="s">
        <v>55</v>
      </c>
      <c r="W14" t="s">
        <v>751</v>
      </c>
      <c r="X14" t="s">
        <v>285</v>
      </c>
      <c r="Y14">
        <v>1.1499999999999999</v>
      </c>
      <c r="Z14" t="s">
        <v>46</v>
      </c>
      <c r="AA14" t="s">
        <v>58</v>
      </c>
      <c r="AB14" t="s">
        <v>59</v>
      </c>
      <c r="AC14">
        <v>286</v>
      </c>
      <c r="AD14" t="s">
        <v>46</v>
      </c>
      <c r="AE14" t="s">
        <v>60</v>
      </c>
      <c r="AF14" t="s">
        <v>45</v>
      </c>
      <c r="AG14" t="s">
        <v>46</v>
      </c>
      <c r="AH14" t="s">
        <v>61</v>
      </c>
      <c r="AI14" t="s">
        <v>48</v>
      </c>
      <c r="AJ14" t="s">
        <v>62</v>
      </c>
      <c r="AK14" t="s">
        <v>63</v>
      </c>
      <c r="AL14" t="s">
        <v>376</v>
      </c>
      <c r="AM14" t="s">
        <v>46</v>
      </c>
      <c r="AN14" t="s">
        <v>60</v>
      </c>
      <c r="AO14" t="s">
        <v>62</v>
      </c>
      <c r="AP14" t="s">
        <v>752</v>
      </c>
      <c r="AQ14" t="s">
        <v>66</v>
      </c>
      <c r="AR14" t="s">
        <v>67</v>
      </c>
    </row>
    <row r="15" spans="1:44">
      <c r="A15" s="1">
        <v>45427</v>
      </c>
      <c r="B15" s="2">
        <v>0.255</v>
      </c>
      <c r="C15" t="s">
        <v>44</v>
      </c>
      <c r="D15" t="s">
        <v>45</v>
      </c>
      <c r="E15">
        <v>0.71</v>
      </c>
      <c r="F15" t="s">
        <v>46</v>
      </c>
      <c r="G15" t="s">
        <v>47</v>
      </c>
      <c r="H15" t="s">
        <v>45</v>
      </c>
      <c r="I15">
        <v>0.32119999999999999</v>
      </c>
      <c r="J15" t="s">
        <v>46</v>
      </c>
      <c r="K15" t="s">
        <v>48</v>
      </c>
      <c r="L15" t="s">
        <v>49</v>
      </c>
      <c r="M15" t="s">
        <v>50</v>
      </c>
      <c r="N15" t="s">
        <v>51</v>
      </c>
      <c r="O15">
        <v>3.45</v>
      </c>
      <c r="P15">
        <v>8.26</v>
      </c>
      <c r="Q15" t="s">
        <v>46</v>
      </c>
      <c r="R15" t="s">
        <v>52</v>
      </c>
      <c r="S15" t="s">
        <v>53</v>
      </c>
      <c r="T15" t="s">
        <v>46</v>
      </c>
      <c r="U15" t="s">
        <v>54</v>
      </c>
      <c r="V15" t="s">
        <v>55</v>
      </c>
      <c r="W15" t="s">
        <v>751</v>
      </c>
      <c r="X15" t="s">
        <v>285</v>
      </c>
      <c r="Y15">
        <v>1.1499999999999999</v>
      </c>
      <c r="Z15" t="s">
        <v>46</v>
      </c>
      <c r="AA15" t="s">
        <v>58</v>
      </c>
      <c r="AB15" t="s">
        <v>59</v>
      </c>
      <c r="AC15">
        <v>286</v>
      </c>
      <c r="AD15" t="s">
        <v>46</v>
      </c>
      <c r="AE15" t="s">
        <v>60</v>
      </c>
      <c r="AF15" t="s">
        <v>45</v>
      </c>
      <c r="AG15" t="s">
        <v>46</v>
      </c>
      <c r="AH15" t="s">
        <v>61</v>
      </c>
      <c r="AI15" t="s">
        <v>48</v>
      </c>
      <c r="AJ15" t="s">
        <v>62</v>
      </c>
      <c r="AK15" t="s">
        <v>63</v>
      </c>
      <c r="AL15" t="s">
        <v>376</v>
      </c>
      <c r="AM15" t="s">
        <v>46</v>
      </c>
      <c r="AN15" t="s">
        <v>60</v>
      </c>
      <c r="AO15" t="s">
        <v>62</v>
      </c>
      <c r="AP15" t="s">
        <v>753</v>
      </c>
      <c r="AQ15" t="s">
        <v>66</v>
      </c>
      <c r="AR15" t="s">
        <v>67</v>
      </c>
    </row>
    <row r="16" spans="1:44">
      <c r="A16" s="1">
        <v>45427</v>
      </c>
      <c r="B16" s="2">
        <v>0.25505787037037037</v>
      </c>
      <c r="C16" t="s">
        <v>44</v>
      </c>
      <c r="D16" t="s">
        <v>45</v>
      </c>
      <c r="E16">
        <v>0.17599999999999999</v>
      </c>
      <c r="F16" t="s">
        <v>46</v>
      </c>
      <c r="G16" t="s">
        <v>47</v>
      </c>
      <c r="H16" t="s">
        <v>45</v>
      </c>
      <c r="I16">
        <v>0.32150000000000001</v>
      </c>
      <c r="J16" t="s">
        <v>46</v>
      </c>
      <c r="K16" t="s">
        <v>48</v>
      </c>
      <c r="L16" t="s">
        <v>49</v>
      </c>
      <c r="M16" t="s">
        <v>50</v>
      </c>
      <c r="N16" t="s">
        <v>51</v>
      </c>
      <c r="O16">
        <v>3.45</v>
      </c>
      <c r="P16">
        <v>8.26</v>
      </c>
      <c r="Q16" t="s">
        <v>46</v>
      </c>
      <c r="R16" t="s">
        <v>52</v>
      </c>
      <c r="S16" t="s">
        <v>53</v>
      </c>
      <c r="T16" t="s">
        <v>46</v>
      </c>
      <c r="U16" t="s">
        <v>54</v>
      </c>
      <c r="V16" t="s">
        <v>55</v>
      </c>
      <c r="W16" t="s">
        <v>267</v>
      </c>
      <c r="X16" t="s">
        <v>260</v>
      </c>
      <c r="Y16">
        <v>1.1499999999999999</v>
      </c>
      <c r="Z16" t="s">
        <v>46</v>
      </c>
      <c r="AA16" t="s">
        <v>58</v>
      </c>
      <c r="AB16" t="s">
        <v>59</v>
      </c>
      <c r="AC16">
        <v>286</v>
      </c>
      <c r="AD16" t="s">
        <v>46</v>
      </c>
      <c r="AE16" t="s">
        <v>60</v>
      </c>
      <c r="AF16" t="s">
        <v>45</v>
      </c>
      <c r="AG16" t="s">
        <v>46</v>
      </c>
      <c r="AH16" t="s">
        <v>61</v>
      </c>
      <c r="AI16" t="s">
        <v>48</v>
      </c>
      <c r="AJ16" t="s">
        <v>62</v>
      </c>
      <c r="AK16" t="s">
        <v>63</v>
      </c>
      <c r="AL16" t="s">
        <v>376</v>
      </c>
      <c r="AM16" t="s">
        <v>46</v>
      </c>
      <c r="AN16" t="s">
        <v>60</v>
      </c>
      <c r="AO16" t="s">
        <v>62</v>
      </c>
      <c r="AP16" t="s">
        <v>754</v>
      </c>
      <c r="AQ16" t="s">
        <v>66</v>
      </c>
      <c r="AR16" t="s">
        <v>67</v>
      </c>
    </row>
    <row r="17" spans="1:44">
      <c r="A17" s="1">
        <v>45427</v>
      </c>
      <c r="B17" s="2">
        <v>0.25510416666666669</v>
      </c>
      <c r="C17" t="s">
        <v>44</v>
      </c>
      <c r="D17" t="s">
        <v>45</v>
      </c>
      <c r="E17">
        <v>0.25</v>
      </c>
      <c r="F17" t="s">
        <v>46</v>
      </c>
      <c r="G17" t="s">
        <v>47</v>
      </c>
      <c r="H17" t="s">
        <v>45</v>
      </c>
      <c r="I17">
        <v>0.32150000000000001</v>
      </c>
      <c r="J17" t="s">
        <v>46</v>
      </c>
      <c r="K17" t="s">
        <v>48</v>
      </c>
      <c r="L17" t="s">
        <v>49</v>
      </c>
      <c r="M17" t="s">
        <v>50</v>
      </c>
      <c r="N17" t="s">
        <v>51</v>
      </c>
      <c r="O17">
        <v>3.45</v>
      </c>
      <c r="P17">
        <v>8.26</v>
      </c>
      <c r="Q17" t="s">
        <v>46</v>
      </c>
      <c r="R17" t="s">
        <v>52</v>
      </c>
      <c r="S17" t="s">
        <v>53</v>
      </c>
      <c r="T17" t="s">
        <v>46</v>
      </c>
      <c r="U17" t="s">
        <v>54</v>
      </c>
      <c r="V17" t="s">
        <v>55</v>
      </c>
      <c r="W17" t="s">
        <v>755</v>
      </c>
      <c r="X17" t="s">
        <v>285</v>
      </c>
      <c r="Y17">
        <v>1.1399999999999999</v>
      </c>
      <c r="Z17" t="s">
        <v>46</v>
      </c>
      <c r="AA17" t="s">
        <v>58</v>
      </c>
      <c r="AB17" t="s">
        <v>59</v>
      </c>
      <c r="AC17">
        <v>286</v>
      </c>
      <c r="AD17" t="s">
        <v>46</v>
      </c>
      <c r="AE17" t="s">
        <v>60</v>
      </c>
      <c r="AF17" t="s">
        <v>45</v>
      </c>
      <c r="AG17" t="s">
        <v>46</v>
      </c>
      <c r="AH17" t="s">
        <v>61</v>
      </c>
      <c r="AI17" t="s">
        <v>48</v>
      </c>
      <c r="AJ17" t="s">
        <v>62</v>
      </c>
      <c r="AK17" t="s">
        <v>63</v>
      </c>
      <c r="AL17" t="s">
        <v>376</v>
      </c>
      <c r="AM17" t="s">
        <v>46</v>
      </c>
      <c r="AN17" t="s">
        <v>60</v>
      </c>
      <c r="AO17" t="s">
        <v>62</v>
      </c>
      <c r="AP17" t="s">
        <v>756</v>
      </c>
      <c r="AQ17" t="s">
        <v>66</v>
      </c>
      <c r="AR17" t="s">
        <v>67</v>
      </c>
    </row>
    <row r="18" spans="1:44">
      <c r="A18" s="1">
        <v>45427</v>
      </c>
      <c r="B18" s="2">
        <v>0.25515046296296295</v>
      </c>
      <c r="C18" t="s">
        <v>44</v>
      </c>
      <c r="D18" t="s">
        <v>45</v>
      </c>
      <c r="E18">
        <v>0.41199999999999998</v>
      </c>
      <c r="F18" t="s">
        <v>46</v>
      </c>
      <c r="G18" t="s">
        <v>47</v>
      </c>
      <c r="H18" t="s">
        <v>45</v>
      </c>
      <c r="I18">
        <v>0.3216</v>
      </c>
      <c r="J18" t="s">
        <v>46</v>
      </c>
      <c r="K18" t="s">
        <v>48</v>
      </c>
      <c r="L18" t="s">
        <v>49</v>
      </c>
      <c r="M18" t="s">
        <v>50</v>
      </c>
      <c r="N18" t="s">
        <v>51</v>
      </c>
      <c r="O18">
        <v>3.45</v>
      </c>
      <c r="P18">
        <v>8.26</v>
      </c>
      <c r="Q18" t="s">
        <v>46</v>
      </c>
      <c r="R18" t="s">
        <v>52</v>
      </c>
      <c r="S18" t="s">
        <v>53</v>
      </c>
      <c r="T18" t="s">
        <v>46</v>
      </c>
      <c r="U18" t="s">
        <v>54</v>
      </c>
      <c r="V18" t="s">
        <v>55</v>
      </c>
      <c r="W18" t="s">
        <v>757</v>
      </c>
      <c r="X18" t="s">
        <v>212</v>
      </c>
      <c r="Y18">
        <v>1.1399999999999999</v>
      </c>
      <c r="Z18" t="s">
        <v>46</v>
      </c>
      <c r="AA18" t="s">
        <v>58</v>
      </c>
      <c r="AB18" t="s">
        <v>59</v>
      </c>
      <c r="AC18">
        <v>286</v>
      </c>
      <c r="AD18" t="s">
        <v>46</v>
      </c>
      <c r="AE18" t="s">
        <v>60</v>
      </c>
      <c r="AF18" t="s">
        <v>45</v>
      </c>
      <c r="AG18" t="s">
        <v>46</v>
      </c>
      <c r="AH18" t="s">
        <v>61</v>
      </c>
      <c r="AI18" t="s">
        <v>48</v>
      </c>
      <c r="AJ18" t="s">
        <v>62</v>
      </c>
      <c r="AK18" t="s">
        <v>63</v>
      </c>
      <c r="AL18" t="s">
        <v>376</v>
      </c>
      <c r="AM18" t="s">
        <v>46</v>
      </c>
      <c r="AN18" t="s">
        <v>60</v>
      </c>
      <c r="AO18" t="s">
        <v>62</v>
      </c>
      <c r="AP18" t="s">
        <v>758</v>
      </c>
      <c r="AQ18" t="s">
        <v>66</v>
      </c>
      <c r="AR18" t="s">
        <v>67</v>
      </c>
    </row>
    <row r="19" spans="1:44">
      <c r="A19" s="1">
        <v>45427</v>
      </c>
      <c r="B19" s="2">
        <v>0.25519675925925928</v>
      </c>
      <c r="C19" t="s">
        <v>44</v>
      </c>
      <c r="D19" t="s">
        <v>45</v>
      </c>
      <c r="E19">
        <v>0.182</v>
      </c>
      <c r="F19" t="s">
        <v>46</v>
      </c>
      <c r="G19" t="s">
        <v>47</v>
      </c>
      <c r="H19" t="s">
        <v>45</v>
      </c>
      <c r="I19">
        <v>0.32169999999999999</v>
      </c>
      <c r="J19" t="s">
        <v>46</v>
      </c>
      <c r="K19" t="s">
        <v>48</v>
      </c>
      <c r="L19" t="s">
        <v>49</v>
      </c>
      <c r="M19" t="s">
        <v>50</v>
      </c>
      <c r="N19" t="s">
        <v>51</v>
      </c>
      <c r="O19">
        <v>3.45</v>
      </c>
      <c r="P19">
        <v>8.26</v>
      </c>
      <c r="Q19" t="s">
        <v>46</v>
      </c>
      <c r="R19" t="s">
        <v>52</v>
      </c>
      <c r="S19" t="s">
        <v>53</v>
      </c>
      <c r="T19" t="s">
        <v>46</v>
      </c>
      <c r="U19" t="s">
        <v>54</v>
      </c>
      <c r="V19" t="s">
        <v>55</v>
      </c>
      <c r="W19" t="s">
        <v>269</v>
      </c>
      <c r="X19" t="s">
        <v>286</v>
      </c>
      <c r="Y19">
        <v>1.1299999999999999</v>
      </c>
      <c r="Z19" t="s">
        <v>46</v>
      </c>
      <c r="AA19" t="s">
        <v>58</v>
      </c>
      <c r="AB19" t="s">
        <v>59</v>
      </c>
      <c r="AC19">
        <v>286</v>
      </c>
      <c r="AD19" t="s">
        <v>46</v>
      </c>
      <c r="AE19" t="s">
        <v>60</v>
      </c>
      <c r="AF19" t="s">
        <v>45</v>
      </c>
      <c r="AG19" t="s">
        <v>46</v>
      </c>
      <c r="AH19" t="s">
        <v>61</v>
      </c>
      <c r="AI19" t="s">
        <v>48</v>
      </c>
      <c r="AJ19" t="s">
        <v>62</v>
      </c>
      <c r="AK19" t="s">
        <v>63</v>
      </c>
      <c r="AL19" t="s">
        <v>376</v>
      </c>
      <c r="AM19" t="s">
        <v>46</v>
      </c>
      <c r="AN19" t="s">
        <v>60</v>
      </c>
      <c r="AO19" t="s">
        <v>62</v>
      </c>
      <c r="AP19" t="s">
        <v>759</v>
      </c>
      <c r="AQ19" t="s">
        <v>66</v>
      </c>
      <c r="AR19" t="s">
        <v>67</v>
      </c>
    </row>
    <row r="20" spans="1:44">
      <c r="A20" s="1">
        <v>45427</v>
      </c>
      <c r="B20" s="2">
        <v>0.25525462962962964</v>
      </c>
      <c r="C20" t="s">
        <v>44</v>
      </c>
      <c r="D20" t="s">
        <v>45</v>
      </c>
      <c r="E20">
        <v>0.27300000000000002</v>
      </c>
      <c r="F20" t="s">
        <v>46</v>
      </c>
      <c r="G20" t="s">
        <v>47</v>
      </c>
      <c r="H20" t="s">
        <v>45</v>
      </c>
      <c r="I20">
        <v>0.32169999999999999</v>
      </c>
      <c r="J20" t="s">
        <v>46</v>
      </c>
      <c r="K20" t="s">
        <v>48</v>
      </c>
      <c r="L20" t="s">
        <v>49</v>
      </c>
      <c r="M20" t="s">
        <v>50</v>
      </c>
      <c r="N20" t="s">
        <v>51</v>
      </c>
      <c r="O20">
        <v>3.45</v>
      </c>
      <c r="P20">
        <v>8.26</v>
      </c>
      <c r="Q20" t="s">
        <v>46</v>
      </c>
      <c r="R20" t="s">
        <v>52</v>
      </c>
      <c r="S20" t="s">
        <v>53</v>
      </c>
      <c r="T20" t="s">
        <v>46</v>
      </c>
      <c r="U20" t="s">
        <v>54</v>
      </c>
      <c r="V20" t="s">
        <v>55</v>
      </c>
      <c r="W20" t="s">
        <v>244</v>
      </c>
      <c r="X20" t="s">
        <v>126</v>
      </c>
      <c r="Y20">
        <v>1.1499999999999999</v>
      </c>
      <c r="Z20" t="s">
        <v>46</v>
      </c>
      <c r="AA20" t="s">
        <v>58</v>
      </c>
      <c r="AB20" t="s">
        <v>59</v>
      </c>
      <c r="AC20">
        <v>287</v>
      </c>
      <c r="AD20" t="s">
        <v>46</v>
      </c>
      <c r="AE20" t="s">
        <v>60</v>
      </c>
      <c r="AF20" t="s">
        <v>45</v>
      </c>
      <c r="AG20" t="s">
        <v>46</v>
      </c>
      <c r="AH20" t="s">
        <v>61</v>
      </c>
      <c r="AI20" t="s">
        <v>48</v>
      </c>
      <c r="AJ20" t="s">
        <v>62</v>
      </c>
      <c r="AK20" t="s">
        <v>63</v>
      </c>
      <c r="AL20" t="s">
        <v>376</v>
      </c>
      <c r="AM20" t="s">
        <v>46</v>
      </c>
      <c r="AN20" t="s">
        <v>60</v>
      </c>
      <c r="AO20" t="s">
        <v>62</v>
      </c>
      <c r="AP20" t="s">
        <v>760</v>
      </c>
      <c r="AQ20" t="s">
        <v>66</v>
      </c>
      <c r="AR20" t="s">
        <v>67</v>
      </c>
    </row>
    <row r="21" spans="1:44">
      <c r="A21" s="1">
        <v>45427</v>
      </c>
      <c r="B21" s="2">
        <v>0.2553009259259259</v>
      </c>
      <c r="C21" t="s">
        <v>44</v>
      </c>
      <c r="D21" t="s">
        <v>45</v>
      </c>
      <c r="E21">
        <v>0.4</v>
      </c>
      <c r="F21" t="s">
        <v>46</v>
      </c>
      <c r="G21" t="s">
        <v>47</v>
      </c>
      <c r="H21" t="s">
        <v>45</v>
      </c>
      <c r="I21">
        <v>0.32169999999999999</v>
      </c>
      <c r="J21" t="s">
        <v>46</v>
      </c>
      <c r="K21" t="s">
        <v>48</v>
      </c>
      <c r="L21" t="s">
        <v>49</v>
      </c>
      <c r="M21" t="s">
        <v>50</v>
      </c>
      <c r="N21" t="s">
        <v>51</v>
      </c>
      <c r="O21">
        <v>3.45</v>
      </c>
      <c r="P21">
        <v>8.26</v>
      </c>
      <c r="Q21" t="s">
        <v>46</v>
      </c>
      <c r="R21" t="s">
        <v>52</v>
      </c>
      <c r="S21" t="s">
        <v>53</v>
      </c>
      <c r="T21" t="s">
        <v>46</v>
      </c>
      <c r="U21" t="s">
        <v>54</v>
      </c>
      <c r="V21" t="s">
        <v>55</v>
      </c>
      <c r="W21" t="s">
        <v>244</v>
      </c>
      <c r="X21" t="s">
        <v>126</v>
      </c>
      <c r="Y21">
        <v>1.1499999999999999</v>
      </c>
      <c r="Z21" t="s">
        <v>46</v>
      </c>
      <c r="AA21" t="s">
        <v>58</v>
      </c>
      <c r="AB21" t="s">
        <v>59</v>
      </c>
      <c r="AC21">
        <v>287</v>
      </c>
      <c r="AD21" t="s">
        <v>46</v>
      </c>
      <c r="AE21" t="s">
        <v>60</v>
      </c>
      <c r="AF21" t="s">
        <v>45</v>
      </c>
      <c r="AG21" t="s">
        <v>46</v>
      </c>
      <c r="AH21" t="s">
        <v>61</v>
      </c>
      <c r="AI21" t="s">
        <v>48</v>
      </c>
      <c r="AJ21" t="s">
        <v>62</v>
      </c>
      <c r="AK21" t="s">
        <v>63</v>
      </c>
      <c r="AL21" t="s">
        <v>376</v>
      </c>
      <c r="AM21" t="s">
        <v>46</v>
      </c>
      <c r="AN21" t="s">
        <v>60</v>
      </c>
      <c r="AO21" t="s">
        <v>62</v>
      </c>
      <c r="AP21" t="s">
        <v>761</v>
      </c>
      <c r="AQ21" t="s">
        <v>66</v>
      </c>
      <c r="AR21" t="s">
        <v>67</v>
      </c>
    </row>
    <row r="22" spans="1:44">
      <c r="A22" s="1">
        <v>45427</v>
      </c>
      <c r="B22" s="2">
        <v>0.25534722222222223</v>
      </c>
      <c r="C22" t="s">
        <v>44</v>
      </c>
      <c r="D22" t="s">
        <v>45</v>
      </c>
      <c r="E22">
        <v>0.13300000000000001</v>
      </c>
      <c r="F22" t="s">
        <v>46</v>
      </c>
      <c r="G22" t="s">
        <v>47</v>
      </c>
      <c r="H22" t="s">
        <v>45</v>
      </c>
      <c r="I22">
        <v>0.32179999999999997</v>
      </c>
      <c r="J22" t="s">
        <v>46</v>
      </c>
      <c r="K22" t="s">
        <v>48</v>
      </c>
      <c r="L22" t="s">
        <v>49</v>
      </c>
      <c r="M22" t="s">
        <v>50</v>
      </c>
      <c r="N22" t="s">
        <v>51</v>
      </c>
      <c r="O22">
        <v>3.45</v>
      </c>
      <c r="P22">
        <v>8.26</v>
      </c>
      <c r="Q22" t="s">
        <v>46</v>
      </c>
      <c r="R22" t="s">
        <v>52</v>
      </c>
      <c r="S22" t="s">
        <v>53</v>
      </c>
      <c r="T22" t="s">
        <v>46</v>
      </c>
      <c r="U22" t="s">
        <v>54</v>
      </c>
      <c r="V22" t="s">
        <v>55</v>
      </c>
      <c r="W22" t="s">
        <v>244</v>
      </c>
      <c r="X22" t="s">
        <v>129</v>
      </c>
      <c r="Y22">
        <v>1.1499999999999999</v>
      </c>
      <c r="Z22" t="s">
        <v>46</v>
      </c>
      <c r="AA22" t="s">
        <v>58</v>
      </c>
      <c r="AB22" t="s">
        <v>59</v>
      </c>
      <c r="AC22">
        <v>286</v>
      </c>
      <c r="AD22" t="s">
        <v>46</v>
      </c>
      <c r="AE22" t="s">
        <v>60</v>
      </c>
      <c r="AF22" t="s">
        <v>45</v>
      </c>
      <c r="AG22" t="s">
        <v>46</v>
      </c>
      <c r="AH22" t="s">
        <v>61</v>
      </c>
      <c r="AI22" t="s">
        <v>48</v>
      </c>
      <c r="AJ22" t="s">
        <v>62</v>
      </c>
      <c r="AK22" t="s">
        <v>63</v>
      </c>
      <c r="AL22" t="s">
        <v>376</v>
      </c>
      <c r="AM22" t="s">
        <v>46</v>
      </c>
      <c r="AN22" t="s">
        <v>60</v>
      </c>
      <c r="AO22" t="s">
        <v>62</v>
      </c>
      <c r="AP22" t="s">
        <v>762</v>
      </c>
      <c r="AQ22" t="s">
        <v>66</v>
      </c>
      <c r="AR22" t="s">
        <v>67</v>
      </c>
    </row>
    <row r="23" spans="1:44">
      <c r="A23" s="1">
        <v>45427</v>
      </c>
      <c r="B23" s="2">
        <v>0.25539351851851849</v>
      </c>
      <c r="C23" t="s">
        <v>44</v>
      </c>
      <c r="D23" t="s">
        <v>45</v>
      </c>
      <c r="E23">
        <v>0.23499999999999999</v>
      </c>
      <c r="F23" t="s">
        <v>46</v>
      </c>
      <c r="G23" t="s">
        <v>47</v>
      </c>
      <c r="H23" t="s">
        <v>45</v>
      </c>
      <c r="I23">
        <v>0.32179999999999997</v>
      </c>
      <c r="J23" t="s">
        <v>46</v>
      </c>
      <c r="K23" t="s">
        <v>48</v>
      </c>
      <c r="L23" t="s">
        <v>49</v>
      </c>
      <c r="M23" t="s">
        <v>50</v>
      </c>
      <c r="N23" t="s">
        <v>51</v>
      </c>
      <c r="O23">
        <v>3.45</v>
      </c>
      <c r="P23">
        <v>8.26</v>
      </c>
      <c r="Q23" t="s">
        <v>46</v>
      </c>
      <c r="R23" t="s">
        <v>52</v>
      </c>
      <c r="S23" t="s">
        <v>53</v>
      </c>
      <c r="T23" t="s">
        <v>46</v>
      </c>
      <c r="U23" t="s">
        <v>54</v>
      </c>
      <c r="V23" t="s">
        <v>55</v>
      </c>
      <c r="W23" t="s">
        <v>340</v>
      </c>
      <c r="X23" t="s">
        <v>238</v>
      </c>
      <c r="Y23">
        <v>1.18</v>
      </c>
      <c r="Z23" t="s">
        <v>46</v>
      </c>
      <c r="AA23" t="s">
        <v>58</v>
      </c>
      <c r="AB23" t="s">
        <v>59</v>
      </c>
      <c r="AC23">
        <v>286</v>
      </c>
      <c r="AD23" t="s">
        <v>46</v>
      </c>
      <c r="AE23" t="s">
        <v>60</v>
      </c>
      <c r="AF23" t="s">
        <v>45</v>
      </c>
      <c r="AG23" t="s">
        <v>46</v>
      </c>
      <c r="AH23" t="s">
        <v>61</v>
      </c>
      <c r="AI23" t="s">
        <v>48</v>
      </c>
      <c r="AJ23" t="s">
        <v>62</v>
      </c>
      <c r="AK23" t="s">
        <v>63</v>
      </c>
      <c r="AL23" t="s">
        <v>376</v>
      </c>
      <c r="AM23" t="s">
        <v>46</v>
      </c>
      <c r="AN23" t="s">
        <v>60</v>
      </c>
      <c r="AO23" t="s">
        <v>62</v>
      </c>
      <c r="AP23" t="s">
        <v>763</v>
      </c>
      <c r="AQ23" t="s">
        <v>66</v>
      </c>
      <c r="AR23" t="s">
        <v>67</v>
      </c>
    </row>
    <row r="24" spans="1:44">
      <c r="A24" s="1">
        <v>45427</v>
      </c>
      <c r="B24" s="2">
        <v>0.25545138888888891</v>
      </c>
      <c r="C24" t="s">
        <v>44</v>
      </c>
      <c r="D24" t="s">
        <v>45</v>
      </c>
      <c r="E24">
        <v>0.441</v>
      </c>
      <c r="F24" t="s">
        <v>46</v>
      </c>
      <c r="G24" t="s">
        <v>47</v>
      </c>
      <c r="H24" t="s">
        <v>45</v>
      </c>
      <c r="I24">
        <v>0.32179999999999997</v>
      </c>
      <c r="J24" t="s">
        <v>46</v>
      </c>
      <c r="K24" t="s">
        <v>48</v>
      </c>
      <c r="L24" t="s">
        <v>49</v>
      </c>
      <c r="M24" t="s">
        <v>50</v>
      </c>
      <c r="N24" t="s">
        <v>51</v>
      </c>
      <c r="O24">
        <v>3.45</v>
      </c>
      <c r="P24">
        <v>8.26</v>
      </c>
      <c r="Q24" t="s">
        <v>46</v>
      </c>
      <c r="R24" t="s">
        <v>52</v>
      </c>
      <c r="S24" t="s">
        <v>53</v>
      </c>
      <c r="T24" t="s">
        <v>46</v>
      </c>
      <c r="U24" t="s">
        <v>54</v>
      </c>
      <c r="V24" t="s">
        <v>55</v>
      </c>
      <c r="W24" t="s">
        <v>154</v>
      </c>
      <c r="X24" t="s">
        <v>241</v>
      </c>
      <c r="Y24">
        <v>1.17</v>
      </c>
      <c r="Z24" t="s">
        <v>46</v>
      </c>
      <c r="AA24" t="s">
        <v>58</v>
      </c>
      <c r="AB24" t="s">
        <v>59</v>
      </c>
      <c r="AC24">
        <v>286</v>
      </c>
      <c r="AD24" t="s">
        <v>46</v>
      </c>
      <c r="AE24" t="s">
        <v>60</v>
      </c>
      <c r="AF24" t="s">
        <v>45</v>
      </c>
      <c r="AG24" t="s">
        <v>46</v>
      </c>
      <c r="AH24" t="s">
        <v>61</v>
      </c>
      <c r="AI24" t="s">
        <v>48</v>
      </c>
      <c r="AJ24" t="s">
        <v>62</v>
      </c>
      <c r="AK24" t="s">
        <v>63</v>
      </c>
      <c r="AL24" t="s">
        <v>376</v>
      </c>
      <c r="AM24" t="s">
        <v>46</v>
      </c>
      <c r="AN24" t="s">
        <v>60</v>
      </c>
      <c r="AO24" t="s">
        <v>62</v>
      </c>
      <c r="AP24" t="s">
        <v>764</v>
      </c>
      <c r="AQ24" t="s">
        <v>66</v>
      </c>
      <c r="AR24" t="s">
        <v>67</v>
      </c>
    </row>
    <row r="25" spans="1:44">
      <c r="A25" s="1">
        <v>45427</v>
      </c>
      <c r="B25" s="2">
        <v>0.25549768518518517</v>
      </c>
      <c r="C25" t="s">
        <v>44</v>
      </c>
      <c r="D25" t="s">
        <v>45</v>
      </c>
      <c r="E25">
        <v>0.21199999999999999</v>
      </c>
      <c r="F25" t="s">
        <v>46</v>
      </c>
      <c r="G25" t="s">
        <v>47</v>
      </c>
      <c r="H25" t="s">
        <v>45</v>
      </c>
      <c r="I25">
        <v>0.32190000000000002</v>
      </c>
      <c r="J25" t="s">
        <v>46</v>
      </c>
      <c r="K25" t="s">
        <v>48</v>
      </c>
      <c r="L25" t="s">
        <v>49</v>
      </c>
      <c r="M25" t="s">
        <v>50</v>
      </c>
      <c r="N25" t="s">
        <v>51</v>
      </c>
      <c r="O25">
        <v>3.45</v>
      </c>
      <c r="P25">
        <v>8.26</v>
      </c>
      <c r="Q25" t="s">
        <v>46</v>
      </c>
      <c r="R25" t="s">
        <v>52</v>
      </c>
      <c r="S25" t="s">
        <v>53</v>
      </c>
      <c r="T25" t="s">
        <v>46</v>
      </c>
      <c r="U25" t="s">
        <v>54</v>
      </c>
      <c r="V25" t="s">
        <v>55</v>
      </c>
      <c r="W25" t="s">
        <v>116</v>
      </c>
      <c r="X25" t="s">
        <v>314</v>
      </c>
      <c r="Y25">
        <v>1.17</v>
      </c>
      <c r="Z25" t="s">
        <v>46</v>
      </c>
      <c r="AA25" t="s">
        <v>58</v>
      </c>
      <c r="AB25" t="s">
        <v>59</v>
      </c>
      <c r="AC25">
        <v>286</v>
      </c>
      <c r="AD25" t="s">
        <v>46</v>
      </c>
      <c r="AE25" t="s">
        <v>60</v>
      </c>
      <c r="AF25" t="s">
        <v>45</v>
      </c>
      <c r="AG25" t="s">
        <v>46</v>
      </c>
      <c r="AH25" t="s">
        <v>61</v>
      </c>
      <c r="AI25" t="s">
        <v>48</v>
      </c>
      <c r="AJ25" t="s">
        <v>62</v>
      </c>
      <c r="AK25" t="s">
        <v>63</v>
      </c>
      <c r="AL25" t="s">
        <v>376</v>
      </c>
      <c r="AM25" t="s">
        <v>46</v>
      </c>
      <c r="AN25" t="s">
        <v>60</v>
      </c>
      <c r="AO25" t="s">
        <v>62</v>
      </c>
      <c r="AP25" t="s">
        <v>765</v>
      </c>
      <c r="AQ25" t="s">
        <v>66</v>
      </c>
      <c r="AR25" t="s">
        <v>67</v>
      </c>
    </row>
    <row r="26" spans="1:44">
      <c r="A26" s="1">
        <v>45427</v>
      </c>
      <c r="B26" s="2">
        <v>0.2555439814814815</v>
      </c>
      <c r="C26" t="s">
        <v>44</v>
      </c>
      <c r="D26" t="s">
        <v>45</v>
      </c>
      <c r="E26">
        <v>0.188</v>
      </c>
      <c r="F26" t="s">
        <v>46</v>
      </c>
      <c r="G26" t="s">
        <v>47</v>
      </c>
      <c r="H26" t="s">
        <v>45</v>
      </c>
      <c r="I26">
        <v>0.32179999999999997</v>
      </c>
      <c r="J26" t="s">
        <v>46</v>
      </c>
      <c r="K26" t="s">
        <v>48</v>
      </c>
      <c r="L26" t="s">
        <v>49</v>
      </c>
      <c r="M26" t="s">
        <v>50</v>
      </c>
      <c r="N26" t="s">
        <v>51</v>
      </c>
      <c r="O26">
        <v>3.45</v>
      </c>
      <c r="P26">
        <v>8.26</v>
      </c>
      <c r="Q26" t="s">
        <v>46</v>
      </c>
      <c r="R26" t="s">
        <v>52</v>
      </c>
      <c r="S26" t="s">
        <v>53</v>
      </c>
      <c r="T26" t="s">
        <v>46</v>
      </c>
      <c r="U26" t="s">
        <v>54</v>
      </c>
      <c r="V26" t="s">
        <v>55</v>
      </c>
      <c r="W26" t="s">
        <v>119</v>
      </c>
      <c r="X26" t="s">
        <v>247</v>
      </c>
      <c r="Y26">
        <v>1.1599999999999999</v>
      </c>
      <c r="Z26" t="s">
        <v>46</v>
      </c>
      <c r="AA26" t="s">
        <v>58</v>
      </c>
      <c r="AB26" t="s">
        <v>59</v>
      </c>
      <c r="AC26">
        <v>286</v>
      </c>
      <c r="AD26" t="s">
        <v>46</v>
      </c>
      <c r="AE26" t="s">
        <v>60</v>
      </c>
      <c r="AF26" t="s">
        <v>45</v>
      </c>
      <c r="AG26" t="s">
        <v>46</v>
      </c>
      <c r="AH26" t="s">
        <v>61</v>
      </c>
      <c r="AI26" t="s">
        <v>48</v>
      </c>
      <c r="AJ26" t="s">
        <v>62</v>
      </c>
      <c r="AK26" t="s">
        <v>63</v>
      </c>
      <c r="AL26" t="s">
        <v>376</v>
      </c>
      <c r="AM26" t="s">
        <v>46</v>
      </c>
      <c r="AN26" t="s">
        <v>60</v>
      </c>
      <c r="AO26" t="s">
        <v>62</v>
      </c>
      <c r="AP26" t="s">
        <v>766</v>
      </c>
      <c r="AQ26" t="s">
        <v>66</v>
      </c>
      <c r="AR26" t="s">
        <v>67</v>
      </c>
    </row>
    <row r="27" spans="1:44">
      <c r="A27" s="1">
        <v>45427</v>
      </c>
      <c r="B27" s="2">
        <v>0.25559027777777776</v>
      </c>
      <c r="C27" t="s">
        <v>44</v>
      </c>
      <c r="D27" t="s">
        <v>45</v>
      </c>
      <c r="E27">
        <v>0.45500000000000002</v>
      </c>
      <c r="F27" t="s">
        <v>46</v>
      </c>
      <c r="G27" t="s">
        <v>47</v>
      </c>
      <c r="H27" t="s">
        <v>45</v>
      </c>
      <c r="I27">
        <v>0.32240000000000002</v>
      </c>
      <c r="J27" t="s">
        <v>46</v>
      </c>
      <c r="K27" t="s">
        <v>48</v>
      </c>
      <c r="L27" t="s">
        <v>49</v>
      </c>
      <c r="M27" t="s">
        <v>50</v>
      </c>
      <c r="N27" t="s">
        <v>51</v>
      </c>
      <c r="O27">
        <v>3.45</v>
      </c>
      <c r="P27">
        <v>8.26</v>
      </c>
      <c r="Q27" t="s">
        <v>46</v>
      </c>
      <c r="R27" t="s">
        <v>52</v>
      </c>
      <c r="S27" t="s">
        <v>53</v>
      </c>
      <c r="T27" t="s">
        <v>46</v>
      </c>
      <c r="U27" t="s">
        <v>54</v>
      </c>
      <c r="V27" t="s">
        <v>55</v>
      </c>
      <c r="W27" t="s">
        <v>405</v>
      </c>
      <c r="X27" t="s">
        <v>314</v>
      </c>
      <c r="Y27">
        <v>1.1599999999999999</v>
      </c>
      <c r="Z27" t="s">
        <v>46</v>
      </c>
      <c r="AA27" t="s">
        <v>58</v>
      </c>
      <c r="AB27" t="s">
        <v>59</v>
      </c>
      <c r="AC27">
        <v>286</v>
      </c>
      <c r="AD27" t="s">
        <v>46</v>
      </c>
      <c r="AE27" t="s">
        <v>60</v>
      </c>
      <c r="AF27" t="s">
        <v>45</v>
      </c>
      <c r="AG27" t="s">
        <v>46</v>
      </c>
      <c r="AH27" t="s">
        <v>61</v>
      </c>
      <c r="AI27" t="s">
        <v>48</v>
      </c>
      <c r="AJ27" t="s">
        <v>62</v>
      </c>
      <c r="AK27" t="s">
        <v>63</v>
      </c>
      <c r="AL27" t="s">
        <v>376</v>
      </c>
      <c r="AM27" t="s">
        <v>46</v>
      </c>
      <c r="AN27" t="s">
        <v>60</v>
      </c>
      <c r="AO27" t="s">
        <v>62</v>
      </c>
      <c r="AP27" t="s">
        <v>767</v>
      </c>
      <c r="AQ27" t="s">
        <v>66</v>
      </c>
      <c r="AR27" t="s">
        <v>67</v>
      </c>
    </row>
    <row r="28" spans="1:44">
      <c r="A28" s="1">
        <v>45427</v>
      </c>
      <c r="B28" s="2">
        <v>0.25563657407407409</v>
      </c>
      <c r="C28" t="s">
        <v>44</v>
      </c>
      <c r="D28" t="s">
        <v>45</v>
      </c>
      <c r="E28">
        <v>0.17100000000000001</v>
      </c>
      <c r="F28" t="s">
        <v>46</v>
      </c>
      <c r="G28" t="s">
        <v>47</v>
      </c>
      <c r="H28" t="s">
        <v>45</v>
      </c>
      <c r="I28">
        <v>0.3241</v>
      </c>
      <c r="J28" t="s">
        <v>46</v>
      </c>
      <c r="K28" t="s">
        <v>48</v>
      </c>
      <c r="L28" t="s">
        <v>49</v>
      </c>
      <c r="M28" t="s">
        <v>50</v>
      </c>
      <c r="N28" t="s">
        <v>51</v>
      </c>
      <c r="O28">
        <v>3.45</v>
      </c>
      <c r="P28">
        <v>8.26</v>
      </c>
      <c r="Q28" t="s">
        <v>46</v>
      </c>
      <c r="R28" t="s">
        <v>52</v>
      </c>
      <c r="S28" t="s">
        <v>53</v>
      </c>
      <c r="T28" t="s">
        <v>46</v>
      </c>
      <c r="U28" t="s">
        <v>54</v>
      </c>
      <c r="V28" t="s">
        <v>55</v>
      </c>
      <c r="W28" t="s">
        <v>405</v>
      </c>
      <c r="X28" t="s">
        <v>314</v>
      </c>
      <c r="Y28">
        <v>1.1599999999999999</v>
      </c>
      <c r="Z28" t="s">
        <v>46</v>
      </c>
      <c r="AA28" t="s">
        <v>58</v>
      </c>
      <c r="AB28" t="s">
        <v>59</v>
      </c>
      <c r="AC28">
        <v>286</v>
      </c>
      <c r="AD28" t="s">
        <v>46</v>
      </c>
      <c r="AE28" t="s">
        <v>60</v>
      </c>
      <c r="AF28" t="s">
        <v>45</v>
      </c>
      <c r="AG28" t="s">
        <v>46</v>
      </c>
      <c r="AH28" t="s">
        <v>61</v>
      </c>
      <c r="AI28" t="s">
        <v>48</v>
      </c>
      <c r="AJ28" t="s">
        <v>62</v>
      </c>
      <c r="AK28" t="s">
        <v>63</v>
      </c>
      <c r="AL28" t="s">
        <v>376</v>
      </c>
      <c r="AM28" t="s">
        <v>46</v>
      </c>
      <c r="AN28" t="s">
        <v>60</v>
      </c>
      <c r="AO28" t="s">
        <v>62</v>
      </c>
      <c r="AP28" t="s">
        <v>768</v>
      </c>
      <c r="AQ28" t="s">
        <v>66</v>
      </c>
      <c r="AR28" t="s">
        <v>67</v>
      </c>
    </row>
    <row r="29" spans="1:44">
      <c r="A29" s="1">
        <v>45427</v>
      </c>
      <c r="B29" s="2">
        <v>0.25569444444444445</v>
      </c>
      <c r="C29" t="s">
        <v>44</v>
      </c>
      <c r="D29" t="s">
        <v>45</v>
      </c>
      <c r="E29">
        <v>0.219</v>
      </c>
      <c r="F29" t="s">
        <v>46</v>
      </c>
      <c r="G29" t="s">
        <v>47</v>
      </c>
      <c r="H29" t="s">
        <v>45</v>
      </c>
      <c r="I29">
        <v>0.32450000000000001</v>
      </c>
      <c r="J29" t="s">
        <v>46</v>
      </c>
      <c r="K29" t="s">
        <v>48</v>
      </c>
      <c r="L29" t="s">
        <v>49</v>
      </c>
      <c r="M29" t="s">
        <v>50</v>
      </c>
      <c r="N29" t="s">
        <v>51</v>
      </c>
      <c r="O29">
        <v>3.45</v>
      </c>
      <c r="P29">
        <v>8.26</v>
      </c>
      <c r="Q29" t="s">
        <v>46</v>
      </c>
      <c r="R29" t="s">
        <v>52</v>
      </c>
      <c r="S29" t="s">
        <v>53</v>
      </c>
      <c r="T29" t="s">
        <v>46</v>
      </c>
      <c r="U29" t="s">
        <v>54</v>
      </c>
      <c r="V29" t="s">
        <v>55</v>
      </c>
      <c r="W29" t="s">
        <v>221</v>
      </c>
      <c r="X29" t="s">
        <v>247</v>
      </c>
      <c r="Y29">
        <v>1.1599999999999999</v>
      </c>
      <c r="Z29" t="s">
        <v>46</v>
      </c>
      <c r="AA29" t="s">
        <v>58</v>
      </c>
      <c r="AB29" t="s">
        <v>59</v>
      </c>
      <c r="AC29">
        <v>286</v>
      </c>
      <c r="AD29" t="s">
        <v>46</v>
      </c>
      <c r="AE29" t="s">
        <v>60</v>
      </c>
      <c r="AF29" t="s">
        <v>45</v>
      </c>
      <c r="AG29" t="s">
        <v>46</v>
      </c>
      <c r="AH29" t="s">
        <v>61</v>
      </c>
      <c r="AI29" t="s">
        <v>48</v>
      </c>
      <c r="AJ29" t="s">
        <v>62</v>
      </c>
      <c r="AK29" t="s">
        <v>63</v>
      </c>
      <c r="AL29" t="s">
        <v>376</v>
      </c>
      <c r="AM29" t="s">
        <v>46</v>
      </c>
      <c r="AN29" t="s">
        <v>60</v>
      </c>
      <c r="AO29" t="s">
        <v>62</v>
      </c>
      <c r="AP29" t="s">
        <v>769</v>
      </c>
      <c r="AQ29" t="s">
        <v>66</v>
      </c>
      <c r="AR29" t="s">
        <v>67</v>
      </c>
    </row>
    <row r="30" spans="1:44">
      <c r="A30" s="1">
        <v>45427</v>
      </c>
      <c r="B30" s="2">
        <v>0.25574074074074077</v>
      </c>
      <c r="C30" t="s">
        <v>44</v>
      </c>
      <c r="D30" t="s">
        <v>45</v>
      </c>
      <c r="E30">
        <v>0.88600000000000001</v>
      </c>
      <c r="F30" t="s">
        <v>46</v>
      </c>
      <c r="G30" t="s">
        <v>47</v>
      </c>
      <c r="H30" t="s">
        <v>45</v>
      </c>
      <c r="I30">
        <v>0.32450000000000001</v>
      </c>
      <c r="J30" t="s">
        <v>46</v>
      </c>
      <c r="K30" t="s">
        <v>48</v>
      </c>
      <c r="L30" t="s">
        <v>49</v>
      </c>
      <c r="M30" t="s">
        <v>50</v>
      </c>
      <c r="N30" t="s">
        <v>51</v>
      </c>
      <c r="O30">
        <v>3.45</v>
      </c>
      <c r="P30">
        <v>8.26</v>
      </c>
      <c r="Q30" t="s">
        <v>46</v>
      </c>
      <c r="R30" t="s">
        <v>52</v>
      </c>
      <c r="S30" t="s">
        <v>53</v>
      </c>
      <c r="T30" t="s">
        <v>46</v>
      </c>
      <c r="U30" t="s">
        <v>54</v>
      </c>
      <c r="V30" t="s">
        <v>55</v>
      </c>
      <c r="W30" t="s">
        <v>314</v>
      </c>
      <c r="X30" t="s">
        <v>210</v>
      </c>
      <c r="Y30">
        <v>1.1499999999999999</v>
      </c>
      <c r="Z30" t="s">
        <v>46</v>
      </c>
      <c r="AA30" t="s">
        <v>58</v>
      </c>
      <c r="AB30" t="s">
        <v>59</v>
      </c>
      <c r="AC30">
        <v>287</v>
      </c>
      <c r="AD30" t="s">
        <v>46</v>
      </c>
      <c r="AE30" t="s">
        <v>60</v>
      </c>
      <c r="AF30" t="s">
        <v>45</v>
      </c>
      <c r="AG30" t="s">
        <v>46</v>
      </c>
      <c r="AH30" t="s">
        <v>61</v>
      </c>
      <c r="AI30" t="s">
        <v>48</v>
      </c>
      <c r="AJ30" t="s">
        <v>62</v>
      </c>
      <c r="AK30" t="s">
        <v>63</v>
      </c>
      <c r="AL30" t="s">
        <v>376</v>
      </c>
      <c r="AM30" t="s">
        <v>46</v>
      </c>
      <c r="AN30" t="s">
        <v>60</v>
      </c>
      <c r="AO30" t="s">
        <v>62</v>
      </c>
      <c r="AP30" t="s">
        <v>770</v>
      </c>
      <c r="AQ30" t="s">
        <v>66</v>
      </c>
      <c r="AR30" t="s">
        <v>67</v>
      </c>
    </row>
    <row r="31" spans="1:44">
      <c r="A31" s="1">
        <v>45427</v>
      </c>
      <c r="B31" s="2">
        <v>0.25578703703703703</v>
      </c>
      <c r="C31" t="s">
        <v>44</v>
      </c>
      <c r="D31" t="s">
        <v>45</v>
      </c>
      <c r="E31">
        <v>0.25</v>
      </c>
      <c r="F31" t="s">
        <v>46</v>
      </c>
      <c r="G31" t="s">
        <v>47</v>
      </c>
      <c r="H31" t="s">
        <v>45</v>
      </c>
      <c r="I31">
        <v>0.32479999999999998</v>
      </c>
      <c r="J31" t="s">
        <v>46</v>
      </c>
      <c r="K31" t="s">
        <v>48</v>
      </c>
      <c r="L31" t="s">
        <v>49</v>
      </c>
      <c r="M31" t="s">
        <v>50</v>
      </c>
      <c r="N31" t="s">
        <v>51</v>
      </c>
      <c r="O31">
        <v>3.45</v>
      </c>
      <c r="P31">
        <v>8.26</v>
      </c>
      <c r="Q31" t="s">
        <v>46</v>
      </c>
      <c r="R31" t="s">
        <v>52</v>
      </c>
      <c r="S31" t="s">
        <v>53</v>
      </c>
      <c r="T31" t="s">
        <v>46</v>
      </c>
      <c r="U31" t="s">
        <v>54</v>
      </c>
      <c r="V31" t="s">
        <v>55</v>
      </c>
      <c r="W31" t="s">
        <v>260</v>
      </c>
      <c r="X31" t="s">
        <v>129</v>
      </c>
      <c r="Y31">
        <v>1.1399999999999999</v>
      </c>
      <c r="Z31" t="s">
        <v>46</v>
      </c>
      <c r="AA31" t="s">
        <v>58</v>
      </c>
      <c r="AB31" t="s">
        <v>59</v>
      </c>
      <c r="AC31">
        <v>286</v>
      </c>
      <c r="AD31" t="s">
        <v>46</v>
      </c>
      <c r="AE31" t="s">
        <v>60</v>
      </c>
      <c r="AF31" t="s">
        <v>45</v>
      </c>
      <c r="AG31" t="s">
        <v>46</v>
      </c>
      <c r="AH31" t="s">
        <v>61</v>
      </c>
      <c r="AI31" t="s">
        <v>48</v>
      </c>
      <c r="AJ31" t="s">
        <v>62</v>
      </c>
      <c r="AK31" t="s">
        <v>63</v>
      </c>
      <c r="AL31" t="s">
        <v>376</v>
      </c>
      <c r="AM31" t="s">
        <v>46</v>
      </c>
      <c r="AN31" t="s">
        <v>60</v>
      </c>
      <c r="AO31" t="s">
        <v>62</v>
      </c>
      <c r="AP31" t="s">
        <v>771</v>
      </c>
      <c r="AQ31" t="s">
        <v>66</v>
      </c>
      <c r="AR31" t="s">
        <v>67</v>
      </c>
    </row>
    <row r="32" spans="1:44">
      <c r="A32" s="1"/>
      <c r="B32" s="2"/>
      <c r="E32" s="3">
        <f>AVERAGE(log_v1_051524_tc_5[Column5])</f>
        <v>0.39029999999999998</v>
      </c>
      <c r="I32" s="3">
        <f>AVERAGE(log_v1_051524_tc_5[Column9])</f>
        <v>0.31849333333333335</v>
      </c>
      <c r="O32">
        <f>AVERAGE(log_v1_051524_tc_5[Column15])</f>
        <v>3.450000000000002</v>
      </c>
      <c r="P32">
        <f>AVERAGE(log_v1_051524_tc_5[Column16])</f>
        <v>8.2599999999999962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978A-C933-41F4-AEF2-57573531E97A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9E26D1DD6F7A428D31ADA233218BF9" ma:contentTypeVersion="10" ma:contentTypeDescription="Create a new document." ma:contentTypeScope="" ma:versionID="b37702223315f494510dd1a7288f5683">
  <xsd:schema xmlns:xsd="http://www.w3.org/2001/XMLSchema" xmlns:xs="http://www.w3.org/2001/XMLSchema" xmlns:p="http://schemas.microsoft.com/office/2006/metadata/properties" xmlns:ns3="41dac363-d26f-460a-b0cd-d4f02c047102" targetNamespace="http://schemas.microsoft.com/office/2006/metadata/properties" ma:root="true" ma:fieldsID="c0645d1226148225dc24d96f43996bc0" ns3:_="">
    <xsd:import namespace="41dac363-d26f-460a-b0cd-d4f02c0471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ac363-d26f-460a-b0cd-d4f02c0471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dac363-d26f-460a-b0cd-d4f02c047102" xsi:nil="true"/>
  </documentManagement>
</p:properties>
</file>

<file path=customXml/itemProps1.xml><?xml version="1.0" encoding="utf-8"?>
<ds:datastoreItem xmlns:ds="http://schemas.openxmlformats.org/officeDocument/2006/customXml" ds:itemID="{539026B0-A2E9-4E36-984B-752834A997EA}"/>
</file>

<file path=customXml/itemProps2.xml><?xml version="1.0" encoding="utf-8"?>
<ds:datastoreItem xmlns:ds="http://schemas.openxmlformats.org/officeDocument/2006/customXml" ds:itemID="{73C74146-79A5-4616-9966-9D30F4E5FD56}"/>
</file>

<file path=customXml/itemProps3.xml><?xml version="1.0" encoding="utf-8"?>
<ds:datastoreItem xmlns:ds="http://schemas.openxmlformats.org/officeDocument/2006/customXml" ds:itemID="{D93F76C4-49C9-43BA-8A44-AA3E6BFFB02B}"/>
</file>

<file path=customXml/itemProps4.xml><?xml version="1.0" encoding="utf-8"?>
<ds:datastoreItem xmlns:ds="http://schemas.openxmlformats.org/officeDocument/2006/customXml" ds:itemID="{784CB3B6-75FF-4B80-BA7B-2AEE3A0A41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Sotomayor Paez</dc:creator>
  <cp:keywords/>
  <dc:description/>
  <cp:lastModifiedBy/>
  <cp:revision/>
  <dcterms:created xsi:type="dcterms:W3CDTF">2024-05-15T10:34:35Z</dcterms:created>
  <dcterms:modified xsi:type="dcterms:W3CDTF">2024-05-15T17:15:12Z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0x010100D69E26D1DD6F7A428D31ADA233218BF9</vt:lpwstr>
  </property>
</Properties>
</file>