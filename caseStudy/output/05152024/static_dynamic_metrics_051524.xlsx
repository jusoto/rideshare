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ocuments\Projects\FIU\paper\rideshare_zipkin\caseStudy\output\05152024\"/>
    </mc:Choice>
  </mc:AlternateContent>
  <xr:revisionPtr revIDLastSave="0" documentId="13_ncr:1_{D682251A-26CC-46DB-88B7-427E906D5646}" xr6:coauthVersionLast="47" xr6:coauthVersionMax="47" xr10:uidLastSave="{00000000-0000-0000-0000-000000000000}"/>
  <bookViews>
    <workbookView xWindow="13200" yWindow="-16320" windowWidth="29040" windowHeight="15720" tabRatio="500" firstSheet="3" activeTab="5" xr2:uid="{00000000-000D-0000-FFFF-FFFF00000000}"/>
  </bookViews>
  <sheets>
    <sheet name="Static Metrics" sheetId="1" r:id="rId1"/>
    <sheet name="Dynamic Metrics" sheetId="2" r:id="rId2"/>
    <sheet name="Dynamic Metrics_2" sheetId="3" r:id="rId3"/>
    <sheet name="Dynamic Metrics_3" sheetId="4" r:id="rId4"/>
    <sheet name="Table 6.3" sheetId="6" r:id="rId5"/>
    <sheet name="Table 6.4" sheetId="7" r:id="rId6"/>
    <sheet name="Sheet3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F19" i="6" l="1"/>
  <c r="B4" i="7"/>
  <c r="B19" i="7" s="1"/>
  <c r="E16" i="7"/>
  <c r="E23" i="7" s="1"/>
  <c r="D16" i="7"/>
  <c r="D23" i="7" s="1"/>
  <c r="C16" i="7"/>
  <c r="C23" i="7" s="1"/>
  <c r="B16" i="7"/>
  <c r="B23" i="7" s="1"/>
  <c r="E13" i="7"/>
  <c r="E22" i="7" s="1"/>
  <c r="D13" i="7"/>
  <c r="D22" i="7" s="1"/>
  <c r="C13" i="7"/>
  <c r="C22" i="7" s="1"/>
  <c r="B13" i="7"/>
  <c r="B22" i="7" s="1"/>
  <c r="E10" i="7"/>
  <c r="E21" i="7" s="1"/>
  <c r="D10" i="7"/>
  <c r="D21" i="7" s="1"/>
  <c r="C10" i="7"/>
  <c r="C21" i="7" s="1"/>
  <c r="B10" i="7"/>
  <c r="B21" i="7" s="1"/>
  <c r="E7" i="7"/>
  <c r="E20" i="7" s="1"/>
  <c r="D7" i="7"/>
  <c r="D20" i="7" s="1"/>
  <c r="C7" i="7"/>
  <c r="C20" i="7" s="1"/>
  <c r="B7" i="7"/>
  <c r="B20" i="7" s="1"/>
  <c r="E4" i="7"/>
  <c r="E19" i="7" s="1"/>
  <c r="D4" i="7"/>
  <c r="D19" i="7" s="1"/>
  <c r="C4" i="7"/>
  <c r="C19" i="7" s="1"/>
  <c r="E30" i="6"/>
  <c r="E29" i="6"/>
  <c r="E28" i="6"/>
  <c r="E27" i="6"/>
  <c r="E26" i="6"/>
  <c r="D23" i="6"/>
  <c r="G23" i="6" s="1"/>
  <c r="C23" i="6"/>
  <c r="F23" i="6" s="1"/>
  <c r="D22" i="6"/>
  <c r="G22" i="6" s="1"/>
  <c r="C22" i="6"/>
  <c r="F22" i="6" s="1"/>
  <c r="D21" i="6"/>
  <c r="G21" i="6" s="1"/>
  <c r="C21" i="6"/>
  <c r="F21" i="6" s="1"/>
  <c r="D20" i="6"/>
  <c r="G20" i="6" s="1"/>
  <c r="C20" i="6"/>
  <c r="F20" i="6" s="1"/>
  <c r="D19" i="6"/>
  <c r="C19" i="6"/>
  <c r="G16" i="6"/>
  <c r="G30" i="6" s="1"/>
  <c r="F16" i="6"/>
  <c r="F30" i="6" s="1"/>
  <c r="D16" i="6"/>
  <c r="D30" i="6" s="1"/>
  <c r="C16" i="6"/>
  <c r="C30" i="6" s="1"/>
  <c r="G13" i="6"/>
  <c r="G29" i="6" s="1"/>
  <c r="F13" i="6"/>
  <c r="F29" i="6" s="1"/>
  <c r="D13" i="6"/>
  <c r="D29" i="6" s="1"/>
  <c r="C13" i="6"/>
  <c r="C29" i="6" s="1"/>
  <c r="G10" i="6"/>
  <c r="G28" i="6" s="1"/>
  <c r="F10" i="6"/>
  <c r="F28" i="6" s="1"/>
  <c r="D10" i="6"/>
  <c r="D28" i="6" s="1"/>
  <c r="C10" i="6"/>
  <c r="C28" i="6" s="1"/>
  <c r="G7" i="6"/>
  <c r="G27" i="6" s="1"/>
  <c r="F7" i="6"/>
  <c r="F27" i="6" s="1"/>
  <c r="D7" i="6"/>
  <c r="D27" i="6" s="1"/>
  <c r="C7" i="6"/>
  <c r="C27" i="6" s="1"/>
  <c r="G4" i="6"/>
  <c r="G26" i="6" s="1"/>
  <c r="F4" i="6"/>
  <c r="F26" i="6" s="1"/>
  <c r="D4" i="6"/>
  <c r="D26" i="6" s="1"/>
  <c r="C4" i="6"/>
  <c r="C26" i="6" s="1"/>
  <c r="G45" i="4"/>
  <c r="F45" i="4"/>
  <c r="E45" i="4"/>
  <c r="D45" i="4"/>
  <c r="C45" i="4"/>
  <c r="G42" i="4"/>
  <c r="F42" i="4"/>
  <c r="E42" i="4"/>
  <c r="D42" i="4"/>
  <c r="C42" i="4"/>
  <c r="G39" i="4"/>
  <c r="F39" i="4"/>
  <c r="E39" i="4"/>
  <c r="D39" i="4"/>
  <c r="C39" i="4"/>
  <c r="G36" i="4"/>
  <c r="F36" i="4"/>
  <c r="E36" i="4"/>
  <c r="D36" i="4"/>
  <c r="C36" i="4"/>
  <c r="G33" i="4"/>
  <c r="F33" i="4"/>
  <c r="E33" i="4"/>
  <c r="D33" i="4"/>
  <c r="C33" i="4"/>
  <c r="H50" i="1"/>
  <c r="E50" i="1"/>
  <c r="D50" i="1"/>
  <c r="C50" i="1"/>
  <c r="B50" i="1"/>
  <c r="H49" i="1"/>
  <c r="G49" i="1"/>
  <c r="E49" i="1"/>
  <c r="D49" i="1"/>
  <c r="C49" i="1"/>
  <c r="B49" i="1"/>
  <c r="I48" i="1"/>
  <c r="H48" i="1"/>
  <c r="G48" i="1"/>
  <c r="E48" i="1"/>
  <c r="D48" i="1"/>
  <c r="C48" i="1"/>
  <c r="B48" i="1"/>
  <c r="H47" i="1"/>
  <c r="G47" i="1"/>
  <c r="E47" i="1"/>
  <c r="D47" i="1"/>
  <c r="C47" i="1"/>
  <c r="B47" i="1"/>
  <c r="I15" i="1"/>
  <c r="H15" i="1"/>
  <c r="G15" i="1"/>
  <c r="F15" i="1"/>
  <c r="E15" i="1"/>
  <c r="D15" i="1"/>
  <c r="C15" i="1"/>
  <c r="B15" i="1"/>
  <c r="E19" i="6" l="1"/>
  <c r="G19" i="6"/>
  <c r="E22" i="6"/>
  <c r="E21" i="6"/>
  <c r="E23" i="6"/>
  <c r="E20" i="6"/>
</calcChain>
</file>

<file path=xl/sharedStrings.xml><?xml version="1.0" encoding="utf-8"?>
<sst xmlns="http://schemas.openxmlformats.org/spreadsheetml/2006/main" count="399" uniqueCount="144">
  <si>
    <t>Microservices Applications</t>
  </si>
  <si>
    <t>System / Service</t>
  </si>
  <si>
    <t>LOC</t>
  </si>
  <si>
    <t>No. Methods</t>
  </si>
  <si>
    <t>No. Classes</t>
  </si>
  <si>
    <t>No. Files</t>
  </si>
  <si>
    <t>Bugs</t>
  </si>
  <si>
    <t>Vulnerabilities</t>
  </si>
  <si>
    <t>Code Smells</t>
  </si>
  <si>
    <t>Dup. (%)</t>
  </si>
  <si>
    <t>User Service</t>
  </si>
  <si>
    <t>Calculation Service</t>
  </si>
  <si>
    <t>Driver Cmd</t>
  </si>
  <si>
    <t>Driver Query</t>
  </si>
  <si>
    <t>Edge Service</t>
  </si>
  <si>
    <t>Eureka</t>
  </si>
  <si>
    <t>Front end</t>
  </si>
  <si>
    <t>Gmaps Adapter</t>
  </si>
  <si>
    <t>Notification Service</t>
  </si>
  <si>
    <t>Trip Cmd</t>
  </si>
  <si>
    <t>Trip Common</t>
  </si>
  <si>
    <t>Trip Query</t>
  </si>
  <si>
    <t>Total Rideshare</t>
  </si>
  <si>
    <t>Total Train Ticket</t>
  </si>
  <si>
    <t>Updated Services</t>
  </si>
  <si>
    <t>Before</t>
  </si>
  <si>
    <t>Name of Service</t>
  </si>
  <si>
    <t>Vulnearb.</t>
  </si>
  <si>
    <t>After</t>
  </si>
  <si>
    <t>Monitor</t>
  </si>
  <si>
    <t>System Manager</t>
  </si>
  <si>
    <t>Testing Manager</t>
  </si>
  <si>
    <t>Name of
Service</t>
  </si>
  <si>
    <t>No.
Methods</t>
  </si>
  <si>
    <t>No.
Classes</t>
  </si>
  <si>
    <t>No.
Files</t>
  </si>
  <si>
    <t>Vulnr.</t>
  </si>
  <si>
    <t>Code
Smells</t>
  </si>
  <si>
    <t>Dup.
(%)</t>
  </si>
  <si>
    <t>Calculation
Service</t>
  </si>
  <si>
    <t>Change</t>
  </si>
  <si>
    <t>Time</t>
  </si>
  <si>
    <t>Number of Requests</t>
  </si>
  <si>
    <t>Name of System</t>
  </si>
  <si>
    <t>Total Response Time</t>
  </si>
  <si>
    <t>Average Response Time</t>
  </si>
  <si>
    <t>Mean</t>
  </si>
  <si>
    <t>SD</t>
  </si>
  <si>
    <t>Max</t>
  </si>
  <si>
    <t>Min</t>
  </si>
  <si>
    <t>Rideshare</t>
  </si>
  <si>
    <t>Train Ticket</t>
  </si>
  <si>
    <t>Resource Utilization</t>
  </si>
  <si>
    <t>RAM</t>
  </si>
  <si>
    <t>HDD</t>
  </si>
  <si>
    <t>Bandwith usage</t>
  </si>
  <si>
    <t>Max size of logs</t>
  </si>
  <si>
    <t>Testing Time</t>
  </si>
  <si>
    <t>Total System Delayed</t>
  </si>
  <si>
    <t>System Degradation</t>
  </si>
  <si>
    <t>Response Time / Resources</t>
  </si>
  <si>
    <t>Test Case
(10,000 requests)</t>
  </si>
  <si>
    <t>Rideshare
version</t>
  </si>
  <si>
    <t>Total
Resp. Time</t>
  </si>
  <si>
    <t>Average
Resp. Time</t>
  </si>
  <si>
    <t>Test Case 1</t>
  </si>
  <si>
    <t>Test Case 2</t>
  </si>
  <si>
    <t>Test Case 3</t>
  </si>
  <si>
    <t>Test Case 4</t>
  </si>
  <si>
    <t>Test Case 5</t>
  </si>
  <si>
    <t>Maybe it would be better to plot graph over time</t>
  </si>
  <si>
    <t>CPU %</t>
  </si>
  <si>
    <t>RAM %</t>
  </si>
  <si>
    <t>HDD READ</t>
  </si>
  <si>
    <t>HDD WRITE</t>
  </si>
  <si>
    <t>Bandwith
usage</t>
  </si>
  <si>
    <t>Max size
of logs</t>
  </si>
  <si>
    <t>Plot graph</t>
  </si>
  <si>
    <t>Operation
Total Time</t>
  </si>
  <si>
    <t>Manually?</t>
  </si>
  <si>
    <t>Runtime Validation with Replication (RVR)</t>
  </si>
  <si>
    <t>Timings</t>
  </si>
  <si>
    <t>Fault detection</t>
  </si>
  <si>
    <t>Pinpoint failing microservice</t>
  </si>
  <si>
    <t>Test new version of microservice</t>
  </si>
  <si>
    <t>Replace microservice</t>
  </si>
  <si>
    <t>Final Runtime validation</t>
  </si>
  <si>
    <t>Manual Process</t>
  </si>
  <si>
    <t>RVR</t>
  </si>
  <si>
    <t>% Change</t>
  </si>
  <si>
    <t>ts-admin-basic-info-service</t>
  </si>
  <si>
    <t>ts-admin-order-service</t>
  </si>
  <si>
    <t>ts-admin-route-service</t>
  </si>
  <si>
    <t>ts-admin-travel-service</t>
  </si>
  <si>
    <t>ts-admin-user-service</t>
  </si>
  <si>
    <t>ts-assurance-service</t>
  </si>
  <si>
    <t>ts-auth-service</t>
  </si>
  <si>
    <t>ts-basic-service</t>
  </si>
  <si>
    <t>ts-cancel-service</t>
  </si>
  <si>
    <t>ts-common</t>
  </si>
  <si>
    <t>ts-config-service</t>
  </si>
  <si>
    <t>ts-consign-price-service</t>
  </si>
  <si>
    <t>ts-consign-service</t>
  </si>
  <si>
    <t>ts-contacts-service</t>
  </si>
  <si>
    <t>ts-execute-service</t>
  </si>
  <si>
    <t>ts-food-map-service</t>
  </si>
  <si>
    <t>ts-food-service</t>
  </si>
  <si>
    <t>ts-inside-payment-service</t>
  </si>
  <si>
    <t>ts-news-service</t>
  </si>
  <si>
    <t>ts-notification-service</t>
  </si>
  <si>
    <t>ts-order-other-service</t>
  </si>
  <si>
    <t>ts-order-service</t>
  </si>
  <si>
    <t>ts-payment-service</t>
  </si>
  <si>
    <t>ts-preserve-other-service</t>
  </si>
  <si>
    <t>ts-preserve-service</t>
  </si>
  <si>
    <t>ts-price-service</t>
  </si>
  <si>
    <t>ts-rebook-service</t>
  </si>
  <si>
    <t>ts-route-plan-service</t>
  </si>
  <si>
    <t>ts-route-service</t>
  </si>
  <si>
    <t>ts-seat-service</t>
  </si>
  <si>
    <t>ts-security-service</t>
  </si>
  <si>
    <t>ts-station-service</t>
  </si>
  <si>
    <t>ts-ticket-office-service</t>
  </si>
  <si>
    <t>ts-ticketinfo-service</t>
  </si>
  <si>
    <t>ts-train-service</t>
  </si>
  <si>
    <t>ts-travel-plan-service</t>
  </si>
  <si>
    <t>ts-travel-service</t>
  </si>
  <si>
    <t>ts-travel2-service</t>
  </si>
  <si>
    <t>ts-ui-dashboard</t>
  </si>
  <si>
    <t>ts-ui-test</t>
  </si>
  <si>
    <t>ts-user-service</t>
  </si>
  <si>
    <t>ts-verification-code-service</t>
  </si>
  <si>
    <t>ts-voucher-service</t>
  </si>
  <si>
    <t>v1</t>
  </si>
  <si>
    <t>v2</t>
  </si>
  <si>
    <t>% diff</t>
  </si>
  <si>
    <t>% diff TRT</t>
  </si>
  <si>
    <t>%diff ART</t>
  </si>
  <si>
    <t>%diff Max</t>
  </si>
  <si>
    <t>%diff Min</t>
  </si>
  <si>
    <t>%diff CPU</t>
  </si>
  <si>
    <t>%diff RAM</t>
  </si>
  <si>
    <t>%diff read</t>
  </si>
  <si>
    <t>%diff write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</si>
</sst>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2"/>
      <color rgb="FF0000FF"/>
      <name val="Arial"/>
      <family val="2"/>
      <charset val="1"/>
    </font>
    <font>
      <b/>
      <sz val="12"/>
      <name val="DejaVu San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99999"/>
        <bgColor rgb="FF808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1" fillId="0" borderId="1" xfId="0" applyFont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10" fontId="0" fillId="0" borderId="1" xfId="0" applyNumberFormat="1" applyBorder="1" applyAlignment="1">
      <alignment vertical="center"/>
    </xf>
    <xf numFmtId="0" fontId="2" fillId="0" borderId="0" xfId="0" applyFont="1" applyAlignment="1">
      <alignment wrapText="1"/>
    </xf>
    <xf numFmtId="0" fontId="3" fillId="0" borderId="0" xfId="0" applyFont="1"/>
    <xf numFmtId="10" fontId="0" fillId="0" borderId="0" xfId="0" applyNumberFormat="1"/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0" fontId="0" fillId="0" borderId="1" xfId="0" applyNumberFormat="1" applyBorder="1"/>
    <xf numFmtId="1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99999"/>
      <rgbColor rgb="FF00458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'Table 6.3'!$F$18</c:f>
              <c:strCache>
                <c:ptCount val="1"/>
                <c:pt idx="0">
                  <c:v>v1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'Table 6.3'!$F$19:$F$23</c:f>
              <c:numCache>
                <c:formatCode>General</c:formatCode>
                <c:ptCount val="5"/>
                <c:pt idx="0">
                  <c:v>1.7604326846998237</c:v>
                </c:pt>
                <c:pt idx="1">
                  <c:v>1.4252176440137536</c:v>
                </c:pt>
                <c:pt idx="2">
                  <c:v>1.4304425016270448</c:v>
                </c:pt>
                <c:pt idx="3">
                  <c:v>3.1798730341575081</c:v>
                </c:pt>
                <c:pt idx="4">
                  <c:v>1.5707558787598037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1"/>
                      <c:pt idx="0">
                        <c:v>log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40E-4961-AFCA-6266CC3AD1CC}"/>
            </c:ext>
          </c:extLst>
        </c:ser>
        <c:ser>
          <c:idx val="1"/>
          <c:order val="1"/>
          <c:tx>
            <c:strRef>
              <c:f>'Table 6.3'!$G$18</c:f>
              <c:strCache>
                <c:ptCount val="1"/>
                <c:pt idx="0">
                  <c:v>v2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'Table 6.3'!$G$19:$G$23</c:f>
              <c:numCache>
                <c:formatCode>General</c:formatCode>
                <c:ptCount val="5"/>
                <c:pt idx="0">
                  <c:v>1.7300658903375534</c:v>
                </c:pt>
                <c:pt idx="1">
                  <c:v>1.7251889187539378</c:v>
                </c:pt>
                <c:pt idx="2">
                  <c:v>1.3373592122797757</c:v>
                </c:pt>
                <c:pt idx="3">
                  <c:v>3.3921214683095053</c:v>
                </c:pt>
                <c:pt idx="4">
                  <c:v>1.5427969791167204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1"/>
                      <c:pt idx="0">
                        <c:v>log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40E-4961-AFCA-6266CC3AD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9684610"/>
        <c:axId val="1180745"/>
      </c:barChart>
      <c:catAx>
        <c:axId val="696846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900" b="0" strike="noStrike" spc="-1">
                    <a:latin typeface="Arial"/>
                  </a:defRPr>
                </a:pPr>
                <a:r>
                  <a:rPr lang="en-US" sz="900" b="0" strike="noStrike" spc="-1">
                    <a:latin typeface="Arial"/>
                  </a:rPr>
                  <a:t>Test Case No.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1180745"/>
        <c:crossesAt val="0"/>
        <c:auto val="1"/>
        <c:lblAlgn val="ctr"/>
        <c:lblOffset val="100"/>
        <c:noMultiLvlLbl val="0"/>
      </c:catAx>
      <c:valAx>
        <c:axId val="1180745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900" b="0" strike="noStrike" spc="-1">
                    <a:latin typeface="Arial"/>
                  </a:defRPr>
                </a:pPr>
                <a:r>
                  <a:rPr lang="en-US" sz="900" b="0" strike="noStrike" spc="-1">
                    <a:latin typeface="Arial"/>
                  </a:rPr>
                  <a:t>Log (time)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69684610"/>
        <c:crossesAt val="0"/>
        <c:crossBetween val="between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 strike="noStrike" spc="-1"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'Table 6.3'!$C$25</c:f>
              <c:strCache>
                <c:ptCount val="1"/>
                <c:pt idx="0">
                  <c:v>% diff TRT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7982-4DC3-968A-8212EF89EAF4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982-4DC3-968A-8212EF89EA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'Table 6.3'!$E$19:$E$23</c:f>
              <c:numCache>
                <c:formatCode>0.00%</c:formatCode>
                <c:ptCount val="5"/>
                <c:pt idx="0">
                  <c:v>-6.7533569914583202E-2</c:v>
                </c:pt>
                <c:pt idx="1">
                  <c:v>0.99513034798478783</c:v>
                </c:pt>
                <c:pt idx="2">
                  <c:v>-0.19291976709460648</c:v>
                </c:pt>
                <c:pt idx="3">
                  <c:v>0.6302283230335427</c:v>
                </c:pt>
                <c:pt idx="4">
                  <c:v>-6.234926075501826E-2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82-4DC3-968A-8212EF89E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7287400"/>
        <c:axId val="63677607"/>
      </c:barChart>
      <c:catAx>
        <c:axId val="4728740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900" b="0" strike="noStrike" spc="-1">
                    <a:latin typeface="Arial"/>
                  </a:defRPr>
                </a:pPr>
                <a:r>
                  <a:rPr lang="en-US" sz="900" b="0" strike="noStrike" spc="-1">
                    <a:latin typeface="Arial"/>
                  </a:rPr>
                  <a:t>Test Case No.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63677607"/>
        <c:crosses val="autoZero"/>
        <c:auto val="1"/>
        <c:lblAlgn val="ctr"/>
        <c:lblOffset val="100"/>
        <c:noMultiLvlLbl val="0"/>
      </c:catAx>
      <c:valAx>
        <c:axId val="63677607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0%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47287400"/>
        <c:crossesAt val="0"/>
        <c:crossBetween val="between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 strike="noStrike" spc="-1"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4586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('Table 6.3'!$C$4,'Table 6.3'!$C$7,'Table 6.3'!$C$10,'Table 6.3'!$C$13,'Table 6.3'!$C$16)</c:f>
              <c:numCache>
                <c:formatCode>0.00%</c:formatCode>
                <c:ptCount val="5"/>
                <c:pt idx="0">
                  <c:v>-6.7533569914583202E-2</c:v>
                </c:pt>
                <c:pt idx="1">
                  <c:v>0.99513034798478783</c:v>
                </c:pt>
                <c:pt idx="2">
                  <c:v>-0.19291976709460648</c:v>
                </c:pt>
                <c:pt idx="3">
                  <c:v>0.6302283230335427</c:v>
                </c:pt>
                <c:pt idx="4">
                  <c:v>-6.234926075501826E-2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39-47E4-BF15-D44F605AE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34093625"/>
        <c:axId val="69151691"/>
      </c:barChart>
      <c:catAx>
        <c:axId val="3409362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900" b="0" strike="noStrike" spc="-1">
                    <a:latin typeface="Arial"/>
                  </a:defRPr>
                </a:pPr>
                <a:r>
                  <a:rPr sz="900" b="0" strike="noStrike" spc="-1">
                    <a:latin typeface="Arial"/>
                  </a:rPr>
                  <a:t>Test Case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69151691"/>
        <c:crosses val="autoZero"/>
        <c:auto val="1"/>
        <c:lblAlgn val="ctr"/>
        <c:lblOffset val="100"/>
        <c:noMultiLvlLbl val="0"/>
      </c:catAx>
      <c:valAx>
        <c:axId val="69151691"/>
        <c:scaling>
          <c:orientation val="minMax"/>
        </c:scaling>
        <c:delete val="0"/>
        <c:axPos val="b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900" b="0" strike="noStrike" spc="-1">
                    <a:latin typeface="Arial"/>
                  </a:defRPr>
                </a:pPr>
                <a:r>
                  <a:rPr sz="900" b="0" strike="noStrike" spc="-1">
                    <a:latin typeface="Arial"/>
                  </a:rPr>
                  <a:t>% diff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0.00%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34093625"/>
        <c:crosses val="autoZero"/>
        <c:crossBetween val="between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 strike="noStrike" spc="-1"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'Table 6.3'!$D$25</c:f>
              <c:strCache>
                <c:ptCount val="1"/>
                <c:pt idx="0">
                  <c:v>%diff ART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'Table 6.3'!$D$26:$D$30</c:f>
              <c:numCache>
                <c:formatCode>0.00%</c:formatCode>
                <c:ptCount val="5"/>
                <c:pt idx="0">
                  <c:v>-6.7533569914583175E-2</c:v>
                </c:pt>
                <c:pt idx="1">
                  <c:v>0.99513034798478794</c:v>
                </c:pt>
                <c:pt idx="2">
                  <c:v>-0.19291976709460645</c:v>
                </c:pt>
                <c:pt idx="3">
                  <c:v>0.63022832303354259</c:v>
                </c:pt>
                <c:pt idx="4">
                  <c:v>-6.2349260755018225E-2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CB-47B0-AF25-C794A8BDA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78227574"/>
        <c:axId val="1262735"/>
      </c:barChart>
      <c:catAx>
        <c:axId val="7822757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900" b="0" strike="noStrike" spc="-1">
                    <a:latin typeface="Arial"/>
                  </a:defRPr>
                </a:pPr>
                <a:r>
                  <a:rPr lang="en-US" sz="900" b="0" strike="noStrike" spc="-1">
                    <a:latin typeface="Arial"/>
                  </a:rPr>
                  <a:t>Test Case No.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1262735"/>
        <c:crosses val="autoZero"/>
        <c:auto val="1"/>
        <c:lblAlgn val="ctr"/>
        <c:lblOffset val="100"/>
        <c:noMultiLvlLbl val="0"/>
      </c:catAx>
      <c:valAx>
        <c:axId val="1262735"/>
        <c:scaling>
          <c:orientation val="minMax"/>
        </c:scaling>
        <c:delete val="0"/>
        <c:axPos val="b"/>
        <c:majorGridlines>
          <c:spPr>
            <a:ln>
              <a:solidFill>
                <a:srgbClr val="B3B3B3"/>
              </a:solidFill>
            </a:ln>
          </c:spPr>
        </c:majorGridlines>
        <c:numFmt formatCode="0.00%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78227574"/>
        <c:crosses val="autoZero"/>
        <c:crossBetween val="between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 strike="noStrike" spc="-1"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'Table 6.3'!$F$25</c:f>
              <c:strCache>
                <c:ptCount val="1"/>
                <c:pt idx="0">
                  <c:v>%diff Max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'Table 6.3'!$F$26:$F$30</c:f>
              <c:numCache>
                <c:formatCode>0.00%</c:formatCode>
                <c:ptCount val="5"/>
                <c:pt idx="0">
                  <c:v>-0.18176167345951275</c:v>
                </c:pt>
                <c:pt idx="1">
                  <c:v>207.10424398134936</c:v>
                </c:pt>
                <c:pt idx="2">
                  <c:v>-0.83552972852802421</c:v>
                </c:pt>
                <c:pt idx="3">
                  <c:v>0.60047370132993716</c:v>
                </c:pt>
                <c:pt idx="4">
                  <c:v>-0.79459481531971554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AA-481D-8BCE-8B0FAC6CA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8059895"/>
        <c:axId val="53570459"/>
      </c:barChart>
      <c:catAx>
        <c:axId val="4805989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900" b="0" strike="noStrike" spc="-1">
                    <a:latin typeface="Arial"/>
                  </a:defRPr>
                </a:pPr>
                <a:r>
                  <a:rPr lang="en-US" sz="900" b="0" strike="noStrike" spc="-1">
                    <a:latin typeface="Arial"/>
                  </a:rPr>
                  <a:t>Test Case No.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53570459"/>
        <c:crosses val="autoZero"/>
        <c:auto val="1"/>
        <c:lblAlgn val="ctr"/>
        <c:lblOffset val="100"/>
        <c:noMultiLvlLbl val="0"/>
      </c:catAx>
      <c:valAx>
        <c:axId val="53570459"/>
        <c:scaling>
          <c:orientation val="minMax"/>
        </c:scaling>
        <c:delete val="0"/>
        <c:axPos val="b"/>
        <c:majorGridlines>
          <c:spPr>
            <a:ln>
              <a:solidFill>
                <a:srgbClr val="B3B3B3"/>
              </a:solidFill>
            </a:ln>
          </c:spPr>
        </c:majorGridlines>
        <c:numFmt formatCode="0.00%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48059895"/>
        <c:crosses val="autoZero"/>
        <c:crossBetween val="between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 strike="noStrike" spc="-1"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'Table 6.3'!$G$25</c:f>
              <c:strCache>
                <c:ptCount val="1"/>
                <c:pt idx="0">
                  <c:v>%diff Min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'Table 6.3'!$G$26:$G$30</c:f>
              <c:numCache>
                <c:formatCode>0.00%</c:formatCode>
                <c:ptCount val="5"/>
                <c:pt idx="0">
                  <c:v>0.11957379636937661</c:v>
                </c:pt>
                <c:pt idx="1">
                  <c:v>-0.15755813953488371</c:v>
                </c:pt>
                <c:pt idx="2">
                  <c:v>-0.11531190926275992</c:v>
                </c:pt>
                <c:pt idx="3">
                  <c:v>-9.2887896667198169E-2</c:v>
                </c:pt>
                <c:pt idx="4">
                  <c:v>-9.9130434782608662E-2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91-45D4-AB33-5F0086FBD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0025149"/>
        <c:axId val="31711875"/>
      </c:barChart>
      <c:catAx>
        <c:axId val="6002514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900" b="0" strike="noStrike" spc="-1">
                    <a:latin typeface="Arial"/>
                  </a:defRPr>
                </a:pPr>
                <a:r>
                  <a:rPr sz="900" b="0" strike="noStrike" spc="-1">
                    <a:latin typeface="Arial"/>
                  </a:rPr>
                  <a:t>Test Case No.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31711875"/>
        <c:crosses val="autoZero"/>
        <c:auto val="1"/>
        <c:lblAlgn val="ctr"/>
        <c:lblOffset val="100"/>
        <c:noMultiLvlLbl val="0"/>
      </c:catAx>
      <c:valAx>
        <c:axId val="31711875"/>
        <c:scaling>
          <c:orientation val="minMax"/>
        </c:scaling>
        <c:delete val="0"/>
        <c:axPos val="b"/>
        <c:majorGridlines>
          <c:spPr>
            <a:ln>
              <a:solidFill>
                <a:srgbClr val="B3B3B3"/>
              </a:solidFill>
            </a:ln>
          </c:spPr>
        </c:majorGridlines>
        <c:numFmt formatCode="0.00%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60025149"/>
        <c:crosses val="autoZero"/>
        <c:crossBetween val="between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 strike="noStrike" spc="-1"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'Table 6.4'!$B$18</c:f>
              <c:strCache>
                <c:ptCount val="1"/>
                <c:pt idx="0">
                  <c:v>%diff CPU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'Table 6.4'!$B$19:$B$23</c:f>
              <c:numCache>
                <c:formatCode>0.00%</c:formatCode>
                <c:ptCount val="5"/>
                <c:pt idx="0">
                  <c:v>-6.9112323491656025E-2</c:v>
                </c:pt>
                <c:pt idx="1">
                  <c:v>0.61756481481481484</c:v>
                </c:pt>
                <c:pt idx="2">
                  <c:v>-6.5368589743589722E-2</c:v>
                </c:pt>
                <c:pt idx="3">
                  <c:v>9.1711043468147957E-2</c:v>
                </c:pt>
                <c:pt idx="4">
                  <c:v>2.5466666666666693E-2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E4-46E4-8068-9A60D172B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8743006"/>
        <c:axId val="50543117"/>
      </c:barChart>
      <c:catAx>
        <c:axId val="2874300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900" b="0" strike="noStrike" spc="-1">
                    <a:latin typeface="Arial"/>
                  </a:defRPr>
                </a:pPr>
                <a:r>
                  <a:rPr lang="en-US" sz="900" b="0" strike="noStrike" spc="-1">
                    <a:latin typeface="Arial"/>
                  </a:rPr>
                  <a:t>Test Case No.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50543117"/>
        <c:crosses val="autoZero"/>
        <c:auto val="1"/>
        <c:lblAlgn val="ctr"/>
        <c:lblOffset val="100"/>
        <c:noMultiLvlLbl val="0"/>
      </c:catAx>
      <c:valAx>
        <c:axId val="50543117"/>
        <c:scaling>
          <c:orientation val="minMax"/>
        </c:scaling>
        <c:delete val="0"/>
        <c:axPos val="b"/>
        <c:majorGridlines>
          <c:spPr>
            <a:ln>
              <a:solidFill>
                <a:srgbClr val="B3B3B3"/>
              </a:solidFill>
            </a:ln>
          </c:spPr>
        </c:majorGridlines>
        <c:numFmt formatCode="0.00%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28743006"/>
        <c:crosses val="autoZero"/>
        <c:crossBetween val="between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 strike="noStrike" spc="-1"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'Table 6.4'!$C$18</c:f>
              <c:strCache>
                <c:ptCount val="1"/>
                <c:pt idx="0">
                  <c:v>%diff RAM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'Table 6.4'!$C$19:$C$23</c:f>
              <c:numCache>
                <c:formatCode>0.00%</c:formatCode>
                <c:ptCount val="5"/>
                <c:pt idx="0">
                  <c:v>1.6235558408215556E-2</c:v>
                </c:pt>
                <c:pt idx="1">
                  <c:v>1.2623148148148189E-2</c:v>
                </c:pt>
                <c:pt idx="2">
                  <c:v>1.0280448717948698E-2</c:v>
                </c:pt>
                <c:pt idx="3">
                  <c:v>-3.8040328046842375E-2</c:v>
                </c:pt>
                <c:pt idx="4">
                  <c:v>-4.6786666666666754E-2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C8-4500-B6DE-CD3DFEA4E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502011"/>
        <c:axId val="48247364"/>
      </c:barChart>
      <c:catAx>
        <c:axId val="1550201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900" b="0" strike="noStrike" spc="-1">
                    <a:latin typeface="Arial"/>
                  </a:defRPr>
                </a:pPr>
                <a:r>
                  <a:rPr lang="en-US" sz="900" b="0" strike="noStrike" spc="-1">
                    <a:latin typeface="Arial"/>
                  </a:rPr>
                  <a:t>Test Case No.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48247364"/>
        <c:crosses val="autoZero"/>
        <c:auto val="1"/>
        <c:lblAlgn val="ctr"/>
        <c:lblOffset val="100"/>
        <c:noMultiLvlLbl val="0"/>
      </c:catAx>
      <c:valAx>
        <c:axId val="48247364"/>
        <c:scaling>
          <c:orientation val="minMax"/>
        </c:scaling>
        <c:delete val="0"/>
        <c:axPos val="b"/>
        <c:majorGridlines>
          <c:spPr>
            <a:ln>
              <a:solidFill>
                <a:srgbClr val="B3B3B3"/>
              </a:solidFill>
            </a:ln>
          </c:spPr>
        </c:majorGridlines>
        <c:numFmt formatCode="0.00%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15502011"/>
        <c:crosses val="autoZero"/>
        <c:crossBetween val="between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 strike="noStrike" spc="-1"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'Table 6.4'!$D$18</c:f>
              <c:strCache>
                <c:ptCount val="1"/>
                <c:pt idx="0">
                  <c:v>%diff read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'Table 6.4'!$D$19:$D$23</c:f>
              <c:numCache>
                <c:formatCode>0.00%</c:formatCode>
                <c:ptCount val="5"/>
                <c:pt idx="0">
                  <c:v>-1.1594202898550988E-2</c:v>
                </c:pt>
                <c:pt idx="1">
                  <c:v>-5.7971014492749781E-3</c:v>
                </c:pt>
                <c:pt idx="2">
                  <c:v>-5.7971014492754925E-3</c:v>
                </c:pt>
                <c:pt idx="3">
                  <c:v>-3.4883988848134883E-3</c:v>
                </c:pt>
                <c:pt idx="4">
                  <c:v>-2.608695652174654E-3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A0-498B-B022-95B977BF1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787193"/>
        <c:axId val="95352214"/>
      </c:barChart>
      <c:catAx>
        <c:axId val="1578719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900" b="0" strike="noStrike" spc="-1">
                    <a:latin typeface="Arial"/>
                  </a:defRPr>
                </a:pPr>
                <a:r>
                  <a:rPr lang="en-US" sz="900" b="0" strike="noStrike" spc="-1">
                    <a:latin typeface="Arial"/>
                  </a:rPr>
                  <a:t>Test Case No.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95352214"/>
        <c:crosses val="autoZero"/>
        <c:auto val="1"/>
        <c:lblAlgn val="ctr"/>
        <c:lblOffset val="100"/>
        <c:noMultiLvlLbl val="0"/>
      </c:catAx>
      <c:valAx>
        <c:axId val="95352214"/>
        <c:scaling>
          <c:orientation val="minMax"/>
        </c:scaling>
        <c:delete val="0"/>
        <c:axPos val="b"/>
        <c:majorGridlines>
          <c:spPr>
            <a:ln>
              <a:solidFill>
                <a:srgbClr val="B3B3B3"/>
              </a:solidFill>
            </a:ln>
          </c:spPr>
        </c:majorGridlines>
        <c:numFmt formatCode="0.00%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15787193"/>
        <c:crosses val="autoZero"/>
        <c:crossBetween val="between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 strike="noStrike" spc="-1"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'Table 6.4'!$E$18</c:f>
              <c:strCache>
                <c:ptCount val="1"/>
                <c:pt idx="0">
                  <c:v>%diff write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'Table 6.4'!$E$19:$E$23</c:f>
              <c:numCache>
                <c:formatCode>0.00%</c:formatCode>
                <c:ptCount val="5"/>
                <c:pt idx="0">
                  <c:v>-1.2091898428050801E-3</c:v>
                </c:pt>
                <c:pt idx="1">
                  <c:v>-2.1479526474005438E-16</c:v>
                </c:pt>
                <c:pt idx="2">
                  <c:v>-2.1479526474005438E-16</c:v>
                </c:pt>
                <c:pt idx="3">
                  <c:v>9.6828854998778034E-4</c:v>
                </c:pt>
                <c:pt idx="4">
                  <c:v>1.2106537530274693E-3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DA-49D7-931B-8DC8D3B1E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5161860"/>
        <c:axId val="4953117"/>
      </c:barChart>
      <c:catAx>
        <c:axId val="4516186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900" b="0" strike="noStrike" spc="-1">
                    <a:latin typeface="Arial"/>
                  </a:defRPr>
                </a:pPr>
                <a:r>
                  <a:rPr lang="en-US" sz="900" b="0" strike="noStrike" spc="-1">
                    <a:latin typeface="Arial"/>
                  </a:rPr>
                  <a:t>Test Case No.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4953117"/>
        <c:crosses val="autoZero"/>
        <c:auto val="1"/>
        <c:lblAlgn val="ctr"/>
        <c:lblOffset val="100"/>
        <c:noMultiLvlLbl val="0"/>
      </c:catAx>
      <c:valAx>
        <c:axId val="4953117"/>
        <c:scaling>
          <c:orientation val="minMax"/>
        </c:scaling>
        <c:delete val="0"/>
        <c:axPos val="b"/>
        <c:majorGridlines>
          <c:spPr>
            <a:ln>
              <a:solidFill>
                <a:srgbClr val="B3B3B3"/>
              </a:solidFill>
            </a:ln>
          </c:spPr>
        </c:majorGridlines>
        <c:numFmt formatCode="0.00%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45161860"/>
        <c:crosses val="autoZero"/>
        <c:crossBetween val="between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 strike="noStrike" spc="-1"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49320</xdr:colOff>
      <xdr:row>0</xdr:row>
      <xdr:rowOff>204120</xdr:rowOff>
    </xdr:from>
    <xdr:to>
      <xdr:col>17</xdr:col>
      <xdr:colOff>117720</xdr:colOff>
      <xdr:row>20</xdr:row>
      <xdr:rowOff>114120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808200</xdr:colOff>
      <xdr:row>22</xdr:row>
      <xdr:rowOff>151200</xdr:rowOff>
    </xdr:from>
    <xdr:to>
      <xdr:col>17</xdr:col>
      <xdr:colOff>56670</xdr:colOff>
      <xdr:row>42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43</xdr:col>
      <xdr:colOff>388080</xdr:colOff>
      <xdr:row>0</xdr:row>
      <xdr:rowOff>279000</xdr:rowOff>
    </xdr:from>
    <xdr:to>
      <xdr:col>50</xdr:col>
      <xdr:colOff>439365</xdr:colOff>
      <xdr:row>19</xdr:row>
      <xdr:rowOff>151920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22320</xdr:colOff>
      <xdr:row>45</xdr:row>
      <xdr:rowOff>2160</xdr:rowOff>
    </xdr:from>
    <xdr:to>
      <xdr:col>17</xdr:col>
      <xdr:colOff>60270</xdr:colOff>
      <xdr:row>64</xdr:row>
      <xdr:rowOff>151920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57600</xdr:colOff>
      <xdr:row>67</xdr:row>
      <xdr:rowOff>130680</xdr:rowOff>
    </xdr:from>
    <xdr:to>
      <xdr:col>17</xdr:col>
      <xdr:colOff>95550</xdr:colOff>
      <xdr:row>87</xdr:row>
      <xdr:rowOff>117720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641160</xdr:colOff>
      <xdr:row>89</xdr:row>
      <xdr:rowOff>76680</xdr:rowOff>
    </xdr:from>
    <xdr:to>
      <xdr:col>16</xdr:col>
      <xdr:colOff>683280</xdr:colOff>
      <xdr:row>109</xdr:row>
      <xdr:rowOff>59910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750960</xdr:colOff>
      <xdr:row>0</xdr:row>
      <xdr:rowOff>225360</xdr:rowOff>
    </xdr:from>
    <xdr:to>
      <xdr:col>13</xdr:col>
      <xdr:colOff>19815</xdr:colOff>
      <xdr:row>20</xdr:row>
      <xdr:rowOff>94545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723240</xdr:colOff>
      <xdr:row>23</xdr:row>
      <xdr:rowOff>117360</xdr:rowOff>
    </xdr:from>
    <xdr:to>
      <xdr:col>12</xdr:col>
      <xdr:colOff>784020</xdr:colOff>
      <xdr:row>43</xdr:row>
      <xdr:rowOff>94875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15480</xdr:colOff>
      <xdr:row>45</xdr:row>
      <xdr:rowOff>103680</xdr:rowOff>
    </xdr:from>
    <xdr:to>
      <xdr:col>13</xdr:col>
      <xdr:colOff>91500</xdr:colOff>
      <xdr:row>65</xdr:row>
      <xdr:rowOff>94530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596880</xdr:colOff>
      <xdr:row>68</xdr:row>
      <xdr:rowOff>158040</xdr:rowOff>
    </xdr:from>
    <xdr:to>
      <xdr:col>12</xdr:col>
      <xdr:colOff>669090</xdr:colOff>
      <xdr:row>88</xdr:row>
      <xdr:rowOff>131745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jo102tz/train-ticket/tree/master/ts-consign-service" TargetMode="External"/><Relationship Id="rId18" Type="http://schemas.openxmlformats.org/officeDocument/2006/relationships/hyperlink" Target="https://github.com/jo102tz/train-ticket/tree/master/ts-inside-payment-service" TargetMode="External"/><Relationship Id="rId26" Type="http://schemas.openxmlformats.org/officeDocument/2006/relationships/hyperlink" Target="https://github.com/jo102tz/train-ticket/tree/master/ts-price-service" TargetMode="External"/><Relationship Id="rId39" Type="http://schemas.openxmlformats.org/officeDocument/2006/relationships/hyperlink" Target="https://github.com/jo102tz/train-ticket/tree/master/ts-ui-dashboard" TargetMode="External"/><Relationship Id="rId21" Type="http://schemas.openxmlformats.org/officeDocument/2006/relationships/hyperlink" Target="https://github.com/jo102tz/train-ticket/tree/master/ts-order-other-service" TargetMode="External"/><Relationship Id="rId34" Type="http://schemas.openxmlformats.org/officeDocument/2006/relationships/hyperlink" Target="https://github.com/jo102tz/train-ticket/tree/master/ts-ticketinfo-service" TargetMode="External"/><Relationship Id="rId42" Type="http://schemas.openxmlformats.org/officeDocument/2006/relationships/hyperlink" Target="https://github.com/jo102tz/train-ticket/tree/master/ts-verification-code-service" TargetMode="External"/><Relationship Id="rId7" Type="http://schemas.openxmlformats.org/officeDocument/2006/relationships/hyperlink" Target="https://github.com/jo102tz/train-ticket/tree/master/ts-auth-service" TargetMode="External"/><Relationship Id="rId2" Type="http://schemas.openxmlformats.org/officeDocument/2006/relationships/hyperlink" Target="https://github.com/jo102tz/train-ticket/tree/master/ts-admin-order-service" TargetMode="External"/><Relationship Id="rId16" Type="http://schemas.openxmlformats.org/officeDocument/2006/relationships/hyperlink" Target="https://github.com/jo102tz/train-ticket/tree/master/ts-food-map-service" TargetMode="External"/><Relationship Id="rId20" Type="http://schemas.openxmlformats.org/officeDocument/2006/relationships/hyperlink" Target="https://github.com/jo102tz/train-ticket/tree/master/ts-notification-service" TargetMode="External"/><Relationship Id="rId29" Type="http://schemas.openxmlformats.org/officeDocument/2006/relationships/hyperlink" Target="https://github.com/jo102tz/train-ticket/tree/master/ts-route-service" TargetMode="External"/><Relationship Id="rId41" Type="http://schemas.openxmlformats.org/officeDocument/2006/relationships/hyperlink" Target="https://github.com/jo102tz/train-ticket/tree/master/ts-user-service" TargetMode="External"/><Relationship Id="rId1" Type="http://schemas.openxmlformats.org/officeDocument/2006/relationships/hyperlink" Target="https://github.com/jo102tz/train-ticket/tree/master/ts-admin-basic-info-service" TargetMode="External"/><Relationship Id="rId6" Type="http://schemas.openxmlformats.org/officeDocument/2006/relationships/hyperlink" Target="https://github.com/jo102tz/train-ticket/tree/master/ts-assurance-service" TargetMode="External"/><Relationship Id="rId11" Type="http://schemas.openxmlformats.org/officeDocument/2006/relationships/hyperlink" Target="https://github.com/jo102tz/train-ticket/tree/master/ts-config-service" TargetMode="External"/><Relationship Id="rId24" Type="http://schemas.openxmlformats.org/officeDocument/2006/relationships/hyperlink" Target="https://github.com/jo102tz/train-ticket/tree/master/ts-preserve-other-service" TargetMode="External"/><Relationship Id="rId32" Type="http://schemas.openxmlformats.org/officeDocument/2006/relationships/hyperlink" Target="https://github.com/jo102tz/train-ticket/tree/master/ts-station-service" TargetMode="External"/><Relationship Id="rId37" Type="http://schemas.openxmlformats.org/officeDocument/2006/relationships/hyperlink" Target="https://github.com/jo102tz/train-ticket/tree/master/ts-travel-service" TargetMode="External"/><Relationship Id="rId40" Type="http://schemas.openxmlformats.org/officeDocument/2006/relationships/hyperlink" Target="https://github.com/jo102tz/train-ticket/tree/master/ts-ui-test" TargetMode="External"/><Relationship Id="rId5" Type="http://schemas.openxmlformats.org/officeDocument/2006/relationships/hyperlink" Target="https://github.com/jo102tz/train-ticket/tree/master/ts-admin-user-service" TargetMode="External"/><Relationship Id="rId15" Type="http://schemas.openxmlformats.org/officeDocument/2006/relationships/hyperlink" Target="https://github.com/jo102tz/train-ticket/tree/master/ts-execute-service" TargetMode="External"/><Relationship Id="rId23" Type="http://schemas.openxmlformats.org/officeDocument/2006/relationships/hyperlink" Target="https://github.com/jo102tz/train-ticket/tree/master/ts-payment-service" TargetMode="External"/><Relationship Id="rId28" Type="http://schemas.openxmlformats.org/officeDocument/2006/relationships/hyperlink" Target="https://github.com/jo102tz/train-ticket/tree/master/ts-route-plan-service" TargetMode="External"/><Relationship Id="rId36" Type="http://schemas.openxmlformats.org/officeDocument/2006/relationships/hyperlink" Target="https://github.com/jo102tz/train-ticket/tree/master/ts-travel-plan-service" TargetMode="External"/><Relationship Id="rId10" Type="http://schemas.openxmlformats.org/officeDocument/2006/relationships/hyperlink" Target="https://github.com/jo102tz/train-ticket/tree/master/ts-common" TargetMode="External"/><Relationship Id="rId19" Type="http://schemas.openxmlformats.org/officeDocument/2006/relationships/hyperlink" Target="https://github.com/jo102tz/train-ticket/tree/master/ts-news-service" TargetMode="External"/><Relationship Id="rId31" Type="http://schemas.openxmlformats.org/officeDocument/2006/relationships/hyperlink" Target="https://github.com/jo102tz/train-ticket/tree/master/ts-security-service" TargetMode="External"/><Relationship Id="rId4" Type="http://schemas.openxmlformats.org/officeDocument/2006/relationships/hyperlink" Target="https://github.com/jo102tz/train-ticket/tree/master/ts-admin-travel-service" TargetMode="External"/><Relationship Id="rId9" Type="http://schemas.openxmlformats.org/officeDocument/2006/relationships/hyperlink" Target="https://github.com/jo102tz/train-ticket/tree/master/ts-cancel-service" TargetMode="External"/><Relationship Id="rId14" Type="http://schemas.openxmlformats.org/officeDocument/2006/relationships/hyperlink" Target="https://github.com/jo102tz/train-ticket/tree/master/ts-contacts-service" TargetMode="External"/><Relationship Id="rId22" Type="http://schemas.openxmlformats.org/officeDocument/2006/relationships/hyperlink" Target="https://github.com/jo102tz/train-ticket/tree/master/ts-order-service" TargetMode="External"/><Relationship Id="rId27" Type="http://schemas.openxmlformats.org/officeDocument/2006/relationships/hyperlink" Target="https://github.com/jo102tz/train-ticket/tree/master/ts-rebook-service" TargetMode="External"/><Relationship Id="rId30" Type="http://schemas.openxmlformats.org/officeDocument/2006/relationships/hyperlink" Target="https://github.com/jo102tz/train-ticket/tree/master/ts-seat-service" TargetMode="External"/><Relationship Id="rId35" Type="http://schemas.openxmlformats.org/officeDocument/2006/relationships/hyperlink" Target="https://github.com/jo102tz/train-ticket/tree/master/ts-train-service" TargetMode="External"/><Relationship Id="rId43" Type="http://schemas.openxmlformats.org/officeDocument/2006/relationships/hyperlink" Target="https://github.com/jo102tz/train-ticket/tree/master/ts-voucher-service" TargetMode="External"/><Relationship Id="rId8" Type="http://schemas.openxmlformats.org/officeDocument/2006/relationships/hyperlink" Target="https://github.com/jo102tz/train-ticket/tree/master/ts-basic-service" TargetMode="External"/><Relationship Id="rId3" Type="http://schemas.openxmlformats.org/officeDocument/2006/relationships/hyperlink" Target="https://github.com/jo102tz/train-ticket/tree/master/ts-admin-route-service" TargetMode="External"/><Relationship Id="rId12" Type="http://schemas.openxmlformats.org/officeDocument/2006/relationships/hyperlink" Target="https://github.com/jo102tz/train-ticket/tree/master/ts-consign-price-service" TargetMode="External"/><Relationship Id="rId17" Type="http://schemas.openxmlformats.org/officeDocument/2006/relationships/hyperlink" Target="https://github.com/jo102tz/train-ticket/tree/master/ts-food-service" TargetMode="External"/><Relationship Id="rId25" Type="http://schemas.openxmlformats.org/officeDocument/2006/relationships/hyperlink" Target="https://github.com/jo102tz/train-ticket/tree/master/ts-preserve-service" TargetMode="External"/><Relationship Id="rId33" Type="http://schemas.openxmlformats.org/officeDocument/2006/relationships/hyperlink" Target="https://github.com/jo102tz/train-ticket/tree/master/ts-ticket-office-service" TargetMode="External"/><Relationship Id="rId38" Type="http://schemas.openxmlformats.org/officeDocument/2006/relationships/hyperlink" Target="https://github.com/jo102tz/train-ticket/tree/master/ts-travel2-servi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50"/>
  <sheetViews>
    <sheetView zoomScale="160" zoomScaleNormal="160" workbookViewId="0">
      <selection activeCell="A47" activeCellId="1" sqref="C2:G16 A47"/>
    </sheetView>
  </sheetViews>
  <sheetFormatPr defaultColWidth="11.5546875" defaultRowHeight="13.2"/>
  <cols>
    <col min="1" max="1" width="13.44140625" style="4" customWidth="1"/>
    <col min="2" max="2" width="9.33203125" style="4" customWidth="1"/>
    <col min="3" max="3" width="11.88671875" style="4" customWidth="1"/>
    <col min="4" max="4" width="11" style="4" customWidth="1"/>
    <col min="5" max="5" width="10" style="4" customWidth="1"/>
    <col min="6" max="7" width="9.44140625" style="4" customWidth="1"/>
    <col min="8" max="8" width="9.6640625" style="4" customWidth="1"/>
    <col min="9" max="9" width="8.33203125" style="4" customWidth="1"/>
    <col min="10" max="1023" width="11.5546875" style="4"/>
  </cols>
  <sheetData>
    <row r="1" spans="1:1024" ht="40.950000000000003" customHeight="1">
      <c r="A1" s="26" t="s">
        <v>0</v>
      </c>
      <c r="B1" s="26"/>
      <c r="C1" s="26"/>
      <c r="D1" s="26"/>
      <c r="E1" s="26"/>
      <c r="F1" s="26"/>
    </row>
    <row r="2" spans="1:1024" s="6" customFormat="1" ht="26.1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AMJ2"/>
    </row>
    <row r="3" spans="1:1024">
      <c r="A3" s="7" t="s">
        <v>10</v>
      </c>
      <c r="B3" s="8">
        <v>679</v>
      </c>
      <c r="C3" s="8">
        <v>52</v>
      </c>
      <c r="D3" s="8">
        <v>17</v>
      </c>
      <c r="E3" s="8">
        <v>17</v>
      </c>
      <c r="F3" s="8">
        <v>0</v>
      </c>
      <c r="G3" s="8">
        <v>6</v>
      </c>
      <c r="H3" s="8">
        <v>22</v>
      </c>
      <c r="I3" s="8">
        <v>0</v>
      </c>
    </row>
    <row r="4" spans="1:1024">
      <c r="A4" s="7" t="s">
        <v>11</v>
      </c>
      <c r="B4" s="8">
        <v>1247</v>
      </c>
      <c r="C4" s="8">
        <v>68</v>
      </c>
      <c r="D4" s="8">
        <v>31</v>
      </c>
      <c r="E4" s="8">
        <v>31</v>
      </c>
      <c r="F4" s="8">
        <v>0</v>
      </c>
      <c r="G4" s="8">
        <v>1</v>
      </c>
      <c r="H4" s="8">
        <v>38</v>
      </c>
      <c r="I4" s="8">
        <v>16.399999999999999</v>
      </c>
    </row>
    <row r="5" spans="1:1024">
      <c r="A5" s="7" t="s">
        <v>12</v>
      </c>
      <c r="B5" s="8">
        <v>557</v>
      </c>
      <c r="C5" s="8">
        <v>62</v>
      </c>
      <c r="D5" s="8">
        <v>18</v>
      </c>
      <c r="E5" s="8">
        <v>18</v>
      </c>
      <c r="F5" s="8">
        <v>0</v>
      </c>
      <c r="G5" s="8">
        <v>0</v>
      </c>
      <c r="H5" s="8">
        <v>6</v>
      </c>
      <c r="I5" s="8">
        <v>6.3</v>
      </c>
    </row>
    <row r="6" spans="1:1024">
      <c r="A6" s="7" t="s">
        <v>13</v>
      </c>
      <c r="B6" s="8">
        <v>385</v>
      </c>
      <c r="C6" s="8">
        <v>38</v>
      </c>
      <c r="D6" s="8">
        <v>13</v>
      </c>
      <c r="E6" s="8">
        <v>14</v>
      </c>
      <c r="F6" s="8">
        <v>0</v>
      </c>
      <c r="G6" s="8">
        <v>0</v>
      </c>
      <c r="H6" s="8">
        <v>39</v>
      </c>
      <c r="I6" s="8">
        <v>0</v>
      </c>
    </row>
    <row r="7" spans="1:1024">
      <c r="A7" s="7" t="s">
        <v>14</v>
      </c>
      <c r="B7" s="8">
        <v>271</v>
      </c>
      <c r="C7" s="8">
        <v>10</v>
      </c>
      <c r="D7" s="8">
        <v>3</v>
      </c>
      <c r="E7" s="8">
        <v>4</v>
      </c>
      <c r="F7" s="8">
        <v>1</v>
      </c>
      <c r="G7" s="8">
        <v>2</v>
      </c>
      <c r="H7" s="8">
        <v>20</v>
      </c>
      <c r="I7" s="8">
        <v>0</v>
      </c>
    </row>
    <row r="8" spans="1:1024">
      <c r="A8" s="7" t="s">
        <v>15</v>
      </c>
      <c r="B8" s="8">
        <v>11</v>
      </c>
      <c r="C8" s="8">
        <v>1</v>
      </c>
      <c r="D8" s="8">
        <v>1</v>
      </c>
      <c r="E8" s="8">
        <v>1</v>
      </c>
      <c r="F8" s="8">
        <v>0</v>
      </c>
      <c r="G8" s="8">
        <v>0</v>
      </c>
      <c r="H8" s="8">
        <v>0</v>
      </c>
      <c r="I8" s="8">
        <v>0</v>
      </c>
    </row>
    <row r="9" spans="1:1024">
      <c r="A9" s="7" t="s">
        <v>16</v>
      </c>
      <c r="B9" s="8">
        <v>275</v>
      </c>
      <c r="C9" s="8">
        <v>2</v>
      </c>
      <c r="D9" s="8">
        <v>0</v>
      </c>
      <c r="E9" s="8">
        <v>83</v>
      </c>
      <c r="F9" s="8">
        <v>1</v>
      </c>
      <c r="G9" s="8">
        <v>0</v>
      </c>
      <c r="H9" s="8">
        <v>8</v>
      </c>
      <c r="I9" s="8">
        <v>0</v>
      </c>
    </row>
    <row r="10" spans="1:1024">
      <c r="A10" s="7" t="s">
        <v>17</v>
      </c>
      <c r="B10" s="8">
        <v>428</v>
      </c>
      <c r="C10" s="8">
        <v>48</v>
      </c>
      <c r="D10" s="8">
        <v>0</v>
      </c>
      <c r="E10" s="8">
        <v>10</v>
      </c>
      <c r="F10" s="8">
        <v>0</v>
      </c>
      <c r="G10" s="8">
        <v>0</v>
      </c>
      <c r="H10" s="8">
        <v>6</v>
      </c>
      <c r="I10" s="8">
        <v>0</v>
      </c>
    </row>
    <row r="11" spans="1:1024">
      <c r="A11" s="7" t="s">
        <v>18</v>
      </c>
      <c r="B11" s="8">
        <v>276</v>
      </c>
      <c r="C11" s="8">
        <v>10</v>
      </c>
      <c r="D11" s="8">
        <v>1</v>
      </c>
      <c r="E11" s="8">
        <v>8</v>
      </c>
      <c r="F11" s="8">
        <v>0</v>
      </c>
      <c r="G11" s="8">
        <v>0</v>
      </c>
      <c r="H11" s="8">
        <v>5</v>
      </c>
      <c r="I11" s="8">
        <v>0</v>
      </c>
    </row>
    <row r="12" spans="1:1024">
      <c r="A12" s="7" t="s">
        <v>19</v>
      </c>
      <c r="B12" s="8">
        <v>1079</v>
      </c>
      <c r="C12" s="8">
        <v>104</v>
      </c>
      <c r="D12" s="8">
        <v>29</v>
      </c>
      <c r="E12" s="8">
        <v>29</v>
      </c>
      <c r="F12" s="8">
        <v>0</v>
      </c>
      <c r="G12" s="8">
        <v>2</v>
      </c>
      <c r="H12" s="8">
        <v>63</v>
      </c>
      <c r="I12" s="8">
        <v>0</v>
      </c>
    </row>
    <row r="13" spans="1:1024">
      <c r="A13" s="7" t="s">
        <v>20</v>
      </c>
      <c r="B13" s="8">
        <v>164</v>
      </c>
      <c r="C13" s="8">
        <v>23</v>
      </c>
      <c r="D13" s="8">
        <v>9</v>
      </c>
      <c r="E13" s="8">
        <v>9</v>
      </c>
      <c r="F13" s="8">
        <v>0</v>
      </c>
      <c r="G13" s="8">
        <v>0</v>
      </c>
      <c r="H13" s="8">
        <v>3</v>
      </c>
      <c r="I13" s="8">
        <v>19</v>
      </c>
    </row>
    <row r="14" spans="1:1024">
      <c r="A14" s="7" t="s">
        <v>21</v>
      </c>
      <c r="B14" s="8">
        <v>458</v>
      </c>
      <c r="C14" s="8">
        <v>42</v>
      </c>
      <c r="D14" s="8">
        <v>15</v>
      </c>
      <c r="E14" s="8">
        <v>15</v>
      </c>
      <c r="F14" s="8">
        <v>0</v>
      </c>
      <c r="G14" s="8">
        <v>0</v>
      </c>
      <c r="H14" s="8">
        <v>24</v>
      </c>
      <c r="I14" s="8">
        <v>0</v>
      </c>
    </row>
    <row r="15" spans="1:1024" ht="26.1" customHeight="1">
      <c r="A15" s="9" t="s">
        <v>22</v>
      </c>
      <c r="B15" s="10">
        <f t="shared" ref="B15:I15" si="0">SUM(B3:B14)</f>
        <v>5830</v>
      </c>
      <c r="C15" s="10">
        <f t="shared" si="0"/>
        <v>460</v>
      </c>
      <c r="D15" s="10">
        <f t="shared" si="0"/>
        <v>137</v>
      </c>
      <c r="E15" s="10">
        <f t="shared" si="0"/>
        <v>239</v>
      </c>
      <c r="F15" s="10">
        <f t="shared" si="0"/>
        <v>2</v>
      </c>
      <c r="G15" s="10">
        <f t="shared" si="0"/>
        <v>11</v>
      </c>
      <c r="H15" s="10">
        <f t="shared" si="0"/>
        <v>234</v>
      </c>
      <c r="I15" s="10">
        <f t="shared" si="0"/>
        <v>41.7</v>
      </c>
    </row>
    <row r="16" spans="1:1024" ht="26.1" customHeight="1">
      <c r="A16" s="9" t="s">
        <v>23</v>
      </c>
      <c r="B16" s="10">
        <v>27116</v>
      </c>
      <c r="C16" s="10">
        <v>3636</v>
      </c>
      <c r="D16" s="10">
        <v>507</v>
      </c>
      <c r="E16" s="10">
        <v>546</v>
      </c>
      <c r="F16" s="10">
        <v>13</v>
      </c>
      <c r="G16" s="10">
        <v>29</v>
      </c>
      <c r="H16" s="10">
        <v>449</v>
      </c>
      <c r="I16" s="10">
        <v>43.1</v>
      </c>
    </row>
    <row r="19" spans="1:9">
      <c r="A19" s="4" t="s">
        <v>24</v>
      </c>
    </row>
    <row r="20" spans="1:9">
      <c r="A20" s="4" t="s">
        <v>25</v>
      </c>
    </row>
    <row r="21" spans="1:9">
      <c r="A21" s="4" t="s">
        <v>26</v>
      </c>
      <c r="B21" s="4" t="s">
        <v>2</v>
      </c>
      <c r="C21" s="4" t="s">
        <v>3</v>
      </c>
      <c r="D21" s="4" t="s">
        <v>4</v>
      </c>
      <c r="E21" s="4" t="s">
        <v>5</v>
      </c>
      <c r="F21" s="4" t="s">
        <v>6</v>
      </c>
      <c r="G21" s="4" t="s">
        <v>27</v>
      </c>
      <c r="H21" s="4" t="s">
        <v>8</v>
      </c>
      <c r="I21" s="4" t="s">
        <v>9</v>
      </c>
    </row>
    <row r="24" spans="1:9">
      <c r="A24" s="4" t="s">
        <v>28</v>
      </c>
    </row>
    <row r="25" spans="1:9">
      <c r="A25" s="4" t="s">
        <v>26</v>
      </c>
      <c r="B25" s="4" t="s">
        <v>2</v>
      </c>
      <c r="C25" s="4" t="s">
        <v>3</v>
      </c>
      <c r="D25" s="4" t="s">
        <v>4</v>
      </c>
      <c r="E25" s="4" t="s">
        <v>5</v>
      </c>
      <c r="F25" s="4" t="s">
        <v>6</v>
      </c>
      <c r="G25" s="4" t="s">
        <v>27</v>
      </c>
      <c r="H25" s="4" t="s">
        <v>8</v>
      </c>
      <c r="I25" s="4" t="s">
        <v>9</v>
      </c>
    </row>
    <row r="26" spans="1:9">
      <c r="A26" s="4" t="s">
        <v>10</v>
      </c>
      <c r="B26" s="4">
        <v>957</v>
      </c>
      <c r="C26" s="4">
        <v>89</v>
      </c>
      <c r="D26" s="4">
        <v>21</v>
      </c>
      <c r="E26" s="4">
        <v>21</v>
      </c>
      <c r="F26" s="4">
        <v>0</v>
      </c>
      <c r="G26" s="4">
        <v>1</v>
      </c>
      <c r="H26" s="4">
        <v>49</v>
      </c>
      <c r="I26" s="4">
        <v>0</v>
      </c>
    </row>
    <row r="27" spans="1:9">
      <c r="A27" s="4" t="s">
        <v>11</v>
      </c>
      <c r="B27" s="4">
        <v>1298</v>
      </c>
      <c r="C27" s="4">
        <v>71</v>
      </c>
      <c r="D27" s="4">
        <v>32</v>
      </c>
      <c r="E27" s="4">
        <v>31</v>
      </c>
      <c r="F27" s="4">
        <v>0</v>
      </c>
      <c r="G27" s="4">
        <v>1</v>
      </c>
      <c r="H27" s="4">
        <v>40</v>
      </c>
      <c r="I27" s="4">
        <v>16</v>
      </c>
    </row>
    <row r="28" spans="1:9">
      <c r="A28" s="4" t="s">
        <v>19</v>
      </c>
      <c r="B28" s="4">
        <v>1104</v>
      </c>
      <c r="C28" s="4">
        <v>105</v>
      </c>
      <c r="D28" s="4">
        <v>29</v>
      </c>
      <c r="E28" s="4">
        <v>29</v>
      </c>
      <c r="F28" s="4">
        <v>0</v>
      </c>
      <c r="G28" s="4">
        <v>2</v>
      </c>
      <c r="H28" s="4">
        <v>68</v>
      </c>
      <c r="I28" s="4">
        <v>0</v>
      </c>
    </row>
    <row r="29" spans="1:9">
      <c r="A29" s="4" t="s">
        <v>21</v>
      </c>
      <c r="B29" s="4">
        <v>478</v>
      </c>
      <c r="C29" s="4">
        <v>44</v>
      </c>
      <c r="D29" s="4">
        <v>15</v>
      </c>
      <c r="E29" s="4">
        <v>16</v>
      </c>
      <c r="F29" s="4">
        <v>0</v>
      </c>
      <c r="G29" s="4">
        <v>0</v>
      </c>
      <c r="H29" s="4">
        <v>22</v>
      </c>
      <c r="I29" s="4">
        <v>0</v>
      </c>
    </row>
    <row r="30" spans="1:9">
      <c r="A30" s="4" t="s">
        <v>29</v>
      </c>
    </row>
    <row r="31" spans="1:9">
      <c r="A31" s="4" t="s">
        <v>30</v>
      </c>
      <c r="B31" s="4">
        <v>73</v>
      </c>
      <c r="C31" s="4">
        <v>8</v>
      </c>
      <c r="D31" s="4">
        <v>4</v>
      </c>
      <c r="E31" s="4">
        <v>4</v>
      </c>
      <c r="F31" s="4">
        <v>0</v>
      </c>
      <c r="G31" s="4">
        <v>0</v>
      </c>
      <c r="H31" s="4">
        <v>4</v>
      </c>
      <c r="I31" s="4">
        <v>0</v>
      </c>
    </row>
    <row r="32" spans="1:9">
      <c r="A32" s="4" t="s">
        <v>31</v>
      </c>
    </row>
    <row r="34" spans="1:9" ht="12.75" customHeight="1">
      <c r="A34" s="27" t="s">
        <v>32</v>
      </c>
      <c r="B34" s="27" t="s">
        <v>2</v>
      </c>
      <c r="C34" s="27" t="s">
        <v>33</v>
      </c>
      <c r="D34" s="27" t="s">
        <v>34</v>
      </c>
      <c r="E34" s="27" t="s">
        <v>35</v>
      </c>
      <c r="F34" s="27" t="s">
        <v>6</v>
      </c>
      <c r="G34" s="27" t="s">
        <v>36</v>
      </c>
      <c r="H34" s="27" t="s">
        <v>37</v>
      </c>
      <c r="I34" s="27" t="s">
        <v>38</v>
      </c>
    </row>
    <row r="35" spans="1:9">
      <c r="A35" s="27"/>
      <c r="B35" s="27"/>
      <c r="C35" s="27"/>
      <c r="D35" s="27"/>
      <c r="E35" s="27"/>
      <c r="F35" s="27"/>
      <c r="G35" s="27"/>
      <c r="H35" s="27"/>
      <c r="I35" s="27"/>
    </row>
    <row r="36" spans="1:9">
      <c r="A36" s="28" t="s">
        <v>25</v>
      </c>
      <c r="B36" s="28"/>
      <c r="C36" s="28"/>
      <c r="D36" s="28"/>
      <c r="E36" s="28"/>
      <c r="F36" s="28"/>
      <c r="G36" s="28"/>
      <c r="H36" s="28"/>
      <c r="I36" s="28"/>
    </row>
    <row r="37" spans="1:9">
      <c r="A37" s="7" t="s">
        <v>10</v>
      </c>
      <c r="B37" s="8">
        <v>679</v>
      </c>
      <c r="C37" s="8">
        <v>52</v>
      </c>
      <c r="D37" s="8">
        <v>17</v>
      </c>
      <c r="E37" s="8">
        <v>17</v>
      </c>
      <c r="F37" s="8">
        <v>0</v>
      </c>
      <c r="G37" s="8">
        <v>6</v>
      </c>
      <c r="H37" s="8">
        <v>22</v>
      </c>
      <c r="I37" s="8">
        <v>0</v>
      </c>
    </row>
    <row r="38" spans="1:9" ht="26.4">
      <c r="A38" s="11" t="s">
        <v>39</v>
      </c>
      <c r="B38" s="8">
        <v>1247</v>
      </c>
      <c r="C38" s="8">
        <v>68</v>
      </c>
      <c r="D38" s="8">
        <v>31</v>
      </c>
      <c r="E38" s="8">
        <v>31</v>
      </c>
      <c r="F38" s="8">
        <v>0</v>
      </c>
      <c r="G38" s="8">
        <v>1</v>
      </c>
      <c r="H38" s="8">
        <v>38</v>
      </c>
      <c r="I38" s="8">
        <v>16.399999999999999</v>
      </c>
    </row>
    <row r="39" spans="1:9">
      <c r="A39" s="7" t="s">
        <v>19</v>
      </c>
      <c r="B39" s="8">
        <v>1079</v>
      </c>
      <c r="C39" s="8">
        <v>104</v>
      </c>
      <c r="D39" s="8">
        <v>29</v>
      </c>
      <c r="E39" s="8">
        <v>29</v>
      </c>
      <c r="F39" s="8">
        <v>0</v>
      </c>
      <c r="G39" s="8">
        <v>2</v>
      </c>
      <c r="H39" s="8">
        <v>63</v>
      </c>
      <c r="I39" s="8">
        <v>0</v>
      </c>
    </row>
    <row r="40" spans="1:9">
      <c r="A40" s="7" t="s">
        <v>21</v>
      </c>
      <c r="B40" s="8">
        <v>458</v>
      </c>
      <c r="C40" s="8">
        <v>42</v>
      </c>
      <c r="D40" s="8">
        <v>15</v>
      </c>
      <c r="E40" s="8">
        <v>15</v>
      </c>
      <c r="F40" s="8">
        <v>0</v>
      </c>
      <c r="G40" s="8">
        <v>0</v>
      </c>
      <c r="H40" s="8">
        <v>24</v>
      </c>
      <c r="I40" s="8">
        <v>0</v>
      </c>
    </row>
    <row r="41" spans="1:9">
      <c r="A41" s="28" t="s">
        <v>28</v>
      </c>
      <c r="B41" s="28"/>
      <c r="C41" s="28"/>
      <c r="D41" s="28"/>
      <c r="E41" s="28"/>
      <c r="F41" s="28"/>
      <c r="G41" s="28"/>
      <c r="H41" s="28"/>
      <c r="I41" s="28"/>
    </row>
    <row r="42" spans="1:9">
      <c r="A42" s="7" t="s">
        <v>10</v>
      </c>
      <c r="B42" s="7">
        <v>957</v>
      </c>
      <c r="C42" s="7">
        <v>89</v>
      </c>
      <c r="D42" s="7">
        <v>21</v>
      </c>
      <c r="E42" s="7">
        <v>21</v>
      </c>
      <c r="F42" s="7">
        <v>0</v>
      </c>
      <c r="G42" s="7">
        <v>1</v>
      </c>
      <c r="H42" s="7">
        <v>49</v>
      </c>
      <c r="I42" s="7">
        <v>0</v>
      </c>
    </row>
    <row r="43" spans="1:9" ht="26.4">
      <c r="A43" s="11" t="s">
        <v>39</v>
      </c>
      <c r="B43" s="7">
        <v>1298</v>
      </c>
      <c r="C43" s="7">
        <v>71</v>
      </c>
      <c r="D43" s="7">
        <v>32</v>
      </c>
      <c r="E43" s="7">
        <v>31</v>
      </c>
      <c r="F43" s="7">
        <v>0</v>
      </c>
      <c r="G43" s="7">
        <v>1</v>
      </c>
      <c r="H43" s="7">
        <v>40</v>
      </c>
      <c r="I43" s="7">
        <v>16</v>
      </c>
    </row>
    <row r="44" spans="1:9">
      <c r="A44" s="7" t="s">
        <v>19</v>
      </c>
      <c r="B44" s="7">
        <v>1104</v>
      </c>
      <c r="C44" s="7">
        <v>105</v>
      </c>
      <c r="D44" s="7">
        <v>29</v>
      </c>
      <c r="E44" s="7">
        <v>29</v>
      </c>
      <c r="F44" s="7">
        <v>0</v>
      </c>
      <c r="G44" s="7">
        <v>2</v>
      </c>
      <c r="H44" s="7">
        <v>68</v>
      </c>
      <c r="I44" s="7">
        <v>0</v>
      </c>
    </row>
    <row r="45" spans="1:9">
      <c r="A45" s="7" t="s">
        <v>21</v>
      </c>
      <c r="B45" s="7">
        <v>478</v>
      </c>
      <c r="C45" s="7">
        <v>44</v>
      </c>
      <c r="D45" s="7">
        <v>15</v>
      </c>
      <c r="E45" s="7">
        <v>16</v>
      </c>
      <c r="F45" s="7">
        <v>0</v>
      </c>
      <c r="G45" s="7">
        <v>0</v>
      </c>
      <c r="H45" s="7">
        <v>22</v>
      </c>
      <c r="I45" s="7">
        <v>0</v>
      </c>
    </row>
    <row r="46" spans="1:9">
      <c r="A46" s="28" t="s">
        <v>40</v>
      </c>
      <c r="B46" s="28"/>
      <c r="C46" s="28"/>
      <c r="D46" s="28"/>
      <c r="E46" s="28"/>
      <c r="F46" s="28"/>
      <c r="G46" s="28"/>
      <c r="H46" s="28"/>
      <c r="I46" s="28"/>
    </row>
    <row r="47" spans="1:9">
      <c r="A47" s="7" t="s">
        <v>10</v>
      </c>
      <c r="B47" s="12">
        <f t="shared" ref="B47:E50" si="1">(B42/B37-1)*100</f>
        <v>40.942562592047139</v>
      </c>
      <c r="C47" s="12">
        <f t="shared" si="1"/>
        <v>71.153846153846146</v>
      </c>
      <c r="D47" s="12">
        <f t="shared" si="1"/>
        <v>23.529411764705888</v>
      </c>
      <c r="E47" s="12">
        <f t="shared" si="1"/>
        <v>23.529411764705888</v>
      </c>
      <c r="F47" s="12">
        <v>0</v>
      </c>
      <c r="G47" s="12">
        <f t="shared" ref="G47:H49" si="2">(G42/G37-1)*100</f>
        <v>-83.333333333333343</v>
      </c>
      <c r="H47" s="12">
        <f t="shared" si="2"/>
        <v>122.72727272727271</v>
      </c>
      <c r="I47" s="12">
        <v>0</v>
      </c>
    </row>
    <row r="48" spans="1:9" ht="26.4">
      <c r="A48" s="11" t="s">
        <v>39</v>
      </c>
      <c r="B48" s="12">
        <f t="shared" si="1"/>
        <v>4.089815557337606</v>
      </c>
      <c r="C48" s="12">
        <f t="shared" si="1"/>
        <v>4.4117647058823595</v>
      </c>
      <c r="D48" s="12">
        <f t="shared" si="1"/>
        <v>3.2258064516129004</v>
      </c>
      <c r="E48" s="12">
        <f t="shared" si="1"/>
        <v>0</v>
      </c>
      <c r="F48" s="12">
        <v>0</v>
      </c>
      <c r="G48" s="12">
        <f t="shared" si="2"/>
        <v>0</v>
      </c>
      <c r="H48" s="12">
        <f t="shared" si="2"/>
        <v>5.2631578947368363</v>
      </c>
      <c r="I48" s="12">
        <f>(I43/I38-1)*100</f>
        <v>-2.4390243902438935</v>
      </c>
    </row>
    <row r="49" spans="1:9">
      <c r="A49" s="7" t="s">
        <v>19</v>
      </c>
      <c r="B49" s="12">
        <f t="shared" si="1"/>
        <v>2.3169601482854407</v>
      </c>
      <c r="C49" s="12">
        <f t="shared" si="1"/>
        <v>0.96153846153845812</v>
      </c>
      <c r="D49" s="12">
        <f t="shared" si="1"/>
        <v>0</v>
      </c>
      <c r="E49" s="12">
        <f t="shared" si="1"/>
        <v>0</v>
      </c>
      <c r="F49" s="12">
        <v>0</v>
      </c>
      <c r="G49" s="12">
        <f t="shared" si="2"/>
        <v>0</v>
      </c>
      <c r="H49" s="12">
        <f t="shared" si="2"/>
        <v>7.9365079365079305</v>
      </c>
      <c r="I49" s="12">
        <v>0</v>
      </c>
    </row>
    <row r="50" spans="1:9">
      <c r="A50" s="7" t="s">
        <v>21</v>
      </c>
      <c r="B50" s="12">
        <f t="shared" si="1"/>
        <v>4.366812227074246</v>
      </c>
      <c r="C50" s="12">
        <f t="shared" si="1"/>
        <v>4.7619047619047672</v>
      </c>
      <c r="D50" s="12">
        <f t="shared" si="1"/>
        <v>0</v>
      </c>
      <c r="E50" s="12">
        <f t="shared" si="1"/>
        <v>6.6666666666666652</v>
      </c>
      <c r="F50" s="12">
        <v>0</v>
      </c>
      <c r="G50" s="12">
        <v>0</v>
      </c>
      <c r="H50" s="12">
        <f>(H45/H40-1)*100</f>
        <v>-8.3333333333333375</v>
      </c>
      <c r="I50" s="12">
        <v>0</v>
      </c>
    </row>
  </sheetData>
  <mergeCells count="13">
    <mergeCell ref="A46:I46"/>
    <mergeCell ref="G34:G35"/>
    <mergeCell ref="H34:H35"/>
    <mergeCell ref="I34:I35"/>
    <mergeCell ref="A36:I36"/>
    <mergeCell ref="A41:I41"/>
    <mergeCell ref="A1:F1"/>
    <mergeCell ref="A34:A35"/>
    <mergeCell ref="B34:B35"/>
    <mergeCell ref="C34:C35"/>
    <mergeCell ref="D34:D35"/>
    <mergeCell ref="E34:E35"/>
    <mergeCell ref="F34:F35"/>
  </mergeCell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65"/>
  <sheetViews>
    <sheetView topLeftCell="B25" zoomScale="160" zoomScaleNormal="160" workbookViewId="0">
      <selection activeCell="C36" activeCellId="1" sqref="C2:G16 C36"/>
    </sheetView>
  </sheetViews>
  <sheetFormatPr defaultColWidth="11.5546875" defaultRowHeight="13.2"/>
  <cols>
    <col min="1" max="1" width="19.88671875" style="4" customWidth="1"/>
    <col min="2" max="2" width="22.109375" style="3" customWidth="1"/>
    <col min="3" max="3" width="25.109375" style="4" customWidth="1"/>
    <col min="4" max="8" width="21.77734375" style="4" customWidth="1"/>
    <col min="9" max="1024" width="11.5546875" style="4"/>
  </cols>
  <sheetData>
    <row r="1" spans="1:7">
      <c r="A1" s="4" t="s">
        <v>41</v>
      </c>
      <c r="B1" s="3" t="s">
        <v>42</v>
      </c>
      <c r="C1" s="4">
        <v>10000</v>
      </c>
    </row>
    <row r="2" spans="1:7">
      <c r="A2" s="4" t="s">
        <v>43</v>
      </c>
      <c r="B2" s="3" t="s">
        <v>44</v>
      </c>
      <c r="C2" s="4" t="s">
        <v>45</v>
      </c>
      <c r="D2" s="4" t="s">
        <v>46</v>
      </c>
      <c r="E2" s="4" t="s">
        <v>47</v>
      </c>
      <c r="F2" s="4" t="s">
        <v>48</v>
      </c>
      <c r="G2" s="4" t="s">
        <v>49</v>
      </c>
    </row>
    <row r="3" spans="1:7">
      <c r="A3" s="4" t="s">
        <v>25</v>
      </c>
    </row>
    <row r="4" spans="1:7">
      <c r="A4" s="4" t="s">
        <v>50</v>
      </c>
    </row>
    <row r="5" spans="1:7">
      <c r="A5" s="4" t="s">
        <v>51</v>
      </c>
    </row>
    <row r="6" spans="1:7">
      <c r="A6" s="4" t="s">
        <v>11</v>
      </c>
    </row>
    <row r="8" spans="1:7">
      <c r="A8" s="4" t="s">
        <v>28</v>
      </c>
    </row>
    <row r="9" spans="1:7">
      <c r="A9" s="4" t="s">
        <v>50</v>
      </c>
    </row>
    <row r="10" spans="1:7">
      <c r="A10" s="4" t="s">
        <v>51</v>
      </c>
    </row>
    <row r="11" spans="1:7">
      <c r="A11" s="4" t="s">
        <v>11</v>
      </c>
    </row>
    <row r="13" spans="1:7">
      <c r="A13" s="4" t="s">
        <v>52</v>
      </c>
    </row>
    <row r="14" spans="1:7">
      <c r="A14" s="4" t="s">
        <v>43</v>
      </c>
      <c r="B14" s="3" t="s">
        <v>53</v>
      </c>
      <c r="C14" s="4" t="s">
        <v>54</v>
      </c>
      <c r="D14" s="4" t="s">
        <v>55</v>
      </c>
      <c r="E14" s="4" t="s">
        <v>42</v>
      </c>
      <c r="F14" s="4" t="s">
        <v>56</v>
      </c>
    </row>
    <row r="15" spans="1:7">
      <c r="A15" s="4" t="s">
        <v>25</v>
      </c>
    </row>
    <row r="16" spans="1:7">
      <c r="A16" s="4" t="s">
        <v>50</v>
      </c>
    </row>
    <row r="17" spans="1:8">
      <c r="A17" s="4" t="s">
        <v>51</v>
      </c>
    </row>
    <row r="18" spans="1:8">
      <c r="A18" s="4" t="s">
        <v>11</v>
      </c>
    </row>
    <row r="20" spans="1:8">
      <c r="A20" s="4" t="s">
        <v>28</v>
      </c>
    </row>
    <row r="21" spans="1:8">
      <c r="A21" s="4" t="s">
        <v>50</v>
      </c>
    </row>
    <row r="22" spans="1:8">
      <c r="A22" s="4" t="s">
        <v>51</v>
      </c>
    </row>
    <row r="23" spans="1:8">
      <c r="A23" s="4" t="s">
        <v>11</v>
      </c>
    </row>
    <row r="25" spans="1:8">
      <c r="A25" s="4" t="s">
        <v>57</v>
      </c>
    </row>
    <row r="26" spans="1:8">
      <c r="A26" s="4" t="s">
        <v>43</v>
      </c>
      <c r="B26" s="3" t="s">
        <v>58</v>
      </c>
      <c r="C26" s="4" t="s">
        <v>59</v>
      </c>
    </row>
    <row r="27" spans="1:8">
      <c r="C27" s="4" t="s">
        <v>60</v>
      </c>
    </row>
    <row r="30" spans="1:8" s="6" customFormat="1" ht="26.4">
      <c r="A30" s="2" t="s">
        <v>61</v>
      </c>
      <c r="B30" s="2" t="s">
        <v>62</v>
      </c>
      <c r="C30" s="2" t="s">
        <v>63</v>
      </c>
      <c r="D30" s="2" t="s">
        <v>64</v>
      </c>
      <c r="E30" s="2" t="s">
        <v>46</v>
      </c>
      <c r="F30" s="2" t="s">
        <v>47</v>
      </c>
      <c r="G30" s="2" t="s">
        <v>48</v>
      </c>
      <c r="H30" s="2" t="s">
        <v>49</v>
      </c>
    </row>
    <row r="31" spans="1:8">
      <c r="A31" s="29" t="s">
        <v>65</v>
      </c>
      <c r="B31" s="1">
        <v>0.1</v>
      </c>
      <c r="C31" s="13">
        <v>62.654521000000003</v>
      </c>
      <c r="D31" s="13">
        <v>6.2654520999999999E-3</v>
      </c>
      <c r="E31" s="13">
        <v>5.7171664774810001E-3</v>
      </c>
      <c r="F31" s="13">
        <v>1.1325399277924E-2</v>
      </c>
      <c r="G31" s="13">
        <v>1.0519160000000001</v>
      </c>
      <c r="H31" s="13">
        <v>2.9150000000000001E-3</v>
      </c>
    </row>
    <row r="32" spans="1:8">
      <c r="A32" s="29"/>
      <c r="B32" s="1">
        <v>0.2</v>
      </c>
      <c r="C32" s="13">
        <v>60.633746000000002</v>
      </c>
      <c r="D32" s="13">
        <v>6.0633746000000001E-3</v>
      </c>
      <c r="E32" s="13">
        <v>5.4777926387600002E-3</v>
      </c>
      <c r="F32" s="13">
        <v>1.0758970014126E-2</v>
      </c>
      <c r="G32" s="13">
        <v>1.029209</v>
      </c>
      <c r="H32" s="13">
        <v>2.7980000000000001E-3</v>
      </c>
    </row>
    <row r="33" spans="1:1024">
      <c r="A33" s="29" t="s">
        <v>66</v>
      </c>
      <c r="B33" s="1">
        <v>0.1</v>
      </c>
      <c r="C33" s="13">
        <v>27.951604</v>
      </c>
      <c r="D33" s="13">
        <v>2.7951603999999998E-3</v>
      </c>
      <c r="E33" s="13">
        <v>2.7061126135130001E-3</v>
      </c>
      <c r="F33" s="13">
        <v>1.0421456036550001E-3</v>
      </c>
      <c r="G33" s="13">
        <v>2.9825999999999998E-2</v>
      </c>
      <c r="H33" s="13">
        <v>1.6069999999999999E-3</v>
      </c>
    </row>
    <row r="34" spans="1:1024">
      <c r="A34" s="29"/>
      <c r="B34" s="1">
        <v>0.2</v>
      </c>
      <c r="C34" s="13">
        <v>75.433330999999995</v>
      </c>
      <c r="D34" s="13">
        <v>7.5433330999999998E-3</v>
      </c>
      <c r="E34" s="13">
        <v>2.5854555385380002E-3</v>
      </c>
      <c r="F34" s="13">
        <v>0.16174034217223601</v>
      </c>
      <c r="G34" s="13">
        <v>6.5030400000000004</v>
      </c>
      <c r="H34" s="13">
        <v>1.421E-3</v>
      </c>
    </row>
    <row r="35" spans="1:1024">
      <c r="A35" s="29" t="s">
        <v>67</v>
      </c>
      <c r="B35" s="1">
        <v>0.1</v>
      </c>
      <c r="C35" s="13">
        <v>777.78881100000001</v>
      </c>
      <c r="D35" s="13">
        <v>7.7778881100000002E-2</v>
      </c>
      <c r="E35" s="13">
        <v>5.6988114706811997E-2</v>
      </c>
      <c r="F35" s="13">
        <v>9.2166870958927005E-2</v>
      </c>
      <c r="G35" s="13">
        <v>0.70614600000000005</v>
      </c>
      <c r="H35" s="13">
        <v>3.6298999999999998E-2</v>
      </c>
    </row>
    <row r="36" spans="1:1024">
      <c r="A36" s="29"/>
      <c r="B36" s="1">
        <v>0.2</v>
      </c>
      <c r="C36" s="13">
        <v>21.772217999999999</v>
      </c>
      <c r="D36" s="13">
        <v>2.1772217999999999E-3</v>
      </c>
      <c r="E36" s="13">
        <v>2.0912282065660001E-3</v>
      </c>
      <c r="F36" s="13">
        <v>1.0330901894499999E-3</v>
      </c>
      <c r="G36" s="13">
        <v>3.4870999999999999E-2</v>
      </c>
      <c r="H36" s="13">
        <v>1.3649999999999999E-3</v>
      </c>
    </row>
    <row r="37" spans="1:1024">
      <c r="A37" s="29" t="s">
        <v>68</v>
      </c>
      <c r="B37" s="1">
        <v>0.1</v>
      </c>
      <c r="C37" s="13">
        <v>1511.691376</v>
      </c>
      <c r="D37" s="13">
        <v>0.1511691376</v>
      </c>
      <c r="E37" s="13">
        <v>0.123782371591657</v>
      </c>
      <c r="F37" s="13">
        <v>8.0639882616913003E-2</v>
      </c>
      <c r="G37" s="13">
        <v>0.39782299999999998</v>
      </c>
      <c r="H37" s="13">
        <v>1.4482999999999999E-2</v>
      </c>
    </row>
    <row r="38" spans="1:1024">
      <c r="A38" s="29"/>
      <c r="B38" s="1">
        <v>0.2</v>
      </c>
      <c r="C38" s="13">
        <v>2550.9955970000001</v>
      </c>
      <c r="D38" s="13">
        <v>0.25509955969999898</v>
      </c>
      <c r="E38" s="13">
        <v>0.21348741564453899</v>
      </c>
      <c r="F38" s="13">
        <v>0.13158523180217399</v>
      </c>
      <c r="G38" s="13">
        <v>0.73670999999999998</v>
      </c>
      <c r="H38" s="13">
        <v>1.7330000000000002E-2</v>
      </c>
    </row>
    <row r="39" spans="1:1024">
      <c r="A39" s="29" t="s">
        <v>69</v>
      </c>
      <c r="B39" s="1">
        <v>0.1</v>
      </c>
      <c r="C39" s="13">
        <v>40.694277</v>
      </c>
      <c r="D39" s="13">
        <v>4.0694277000000003E-3</v>
      </c>
      <c r="E39" s="13">
        <v>3.9386499770180002E-3</v>
      </c>
      <c r="F39" s="13">
        <v>3.1581795437840001E-3</v>
      </c>
      <c r="G39" s="13">
        <v>0.29198600000000002</v>
      </c>
      <c r="H39" s="13">
        <v>2.4589999999999998E-3</v>
      </c>
    </row>
    <row r="40" spans="1:1024">
      <c r="A40" s="29"/>
      <c r="B40" s="1">
        <v>0.2</v>
      </c>
      <c r="C40" s="13">
        <v>36.798600999999998</v>
      </c>
      <c r="D40" s="13">
        <v>3.6798601000000001E-3</v>
      </c>
      <c r="E40" s="13">
        <v>3.4926070831780001E-3</v>
      </c>
      <c r="F40" s="13">
        <v>3.284545784889E-3</v>
      </c>
      <c r="G40" s="13">
        <v>0.28952899999999998</v>
      </c>
      <c r="H40" s="13">
        <v>2.222E-3</v>
      </c>
    </row>
    <row r="43" spans="1:1024">
      <c r="A43" s="4" t="s">
        <v>70</v>
      </c>
    </row>
    <row r="44" spans="1:1024" s="6" customFormat="1" ht="26.4">
      <c r="A44" s="2" t="s">
        <v>61</v>
      </c>
      <c r="B44" s="2" t="s">
        <v>62</v>
      </c>
      <c r="C44" s="5" t="s">
        <v>71</v>
      </c>
      <c r="D44" s="2" t="s">
        <v>72</v>
      </c>
      <c r="E44" s="2" t="s">
        <v>73</v>
      </c>
      <c r="F44" s="5" t="s">
        <v>74</v>
      </c>
      <c r="G44" s="2" t="s">
        <v>75</v>
      </c>
      <c r="H44" s="2" t="s">
        <v>76</v>
      </c>
      <c r="AMI44"/>
      <c r="AMJ44"/>
    </row>
    <row r="45" spans="1:1024">
      <c r="A45" s="29" t="s">
        <v>65</v>
      </c>
      <c r="B45" s="1">
        <v>0.1</v>
      </c>
      <c r="C45" s="13">
        <v>43.496774193548397</v>
      </c>
      <c r="D45" s="13">
        <v>24.7867741935484</v>
      </c>
      <c r="E45" s="13">
        <v>3.24</v>
      </c>
      <c r="F45" s="13">
        <v>9.07</v>
      </c>
      <c r="G45" s="14"/>
      <c r="H45" s="14"/>
      <c r="AMI45"/>
      <c r="AMJ45"/>
    </row>
    <row r="46" spans="1:1024">
      <c r="A46" s="29"/>
      <c r="B46" s="1">
        <v>0.2</v>
      </c>
      <c r="C46" s="15">
        <v>44.471874999999997</v>
      </c>
      <c r="D46" s="15">
        <v>23.401875</v>
      </c>
      <c r="E46" s="15">
        <v>3.27</v>
      </c>
      <c r="F46" s="13">
        <v>9.06</v>
      </c>
      <c r="G46" s="14"/>
      <c r="H46" s="14"/>
      <c r="AMI46"/>
      <c r="AMJ46"/>
    </row>
    <row r="47" spans="1:1024">
      <c r="A47" s="29" t="s">
        <v>66</v>
      </c>
      <c r="B47" s="1">
        <v>0.1</v>
      </c>
      <c r="C47" s="13">
        <v>28.625</v>
      </c>
      <c r="D47" s="13">
        <v>27.385999999999999</v>
      </c>
      <c r="E47" s="13">
        <v>3.2484999999999999</v>
      </c>
      <c r="F47" s="13">
        <v>9.07</v>
      </c>
      <c r="G47" s="14"/>
      <c r="H47" s="14"/>
      <c r="AMI47"/>
      <c r="AMJ47"/>
    </row>
    <row r="48" spans="1:1024">
      <c r="A48" s="29"/>
      <c r="B48" s="1">
        <v>0.2</v>
      </c>
      <c r="C48" s="13">
        <v>91.856666666666698</v>
      </c>
      <c r="D48" s="13">
        <v>23.818000000000001</v>
      </c>
      <c r="E48" s="13">
        <v>3.27</v>
      </c>
      <c r="F48" s="13">
        <v>9.06</v>
      </c>
      <c r="G48" s="14"/>
      <c r="H48" s="14"/>
      <c r="AMI48"/>
      <c r="AMJ48"/>
    </row>
    <row r="49" spans="1:1024">
      <c r="A49" s="29" t="s">
        <v>67</v>
      </c>
      <c r="B49" s="1">
        <v>0.1</v>
      </c>
      <c r="C49" s="13">
        <v>14.4625641025641</v>
      </c>
      <c r="D49" s="13">
        <v>27.640358974359</v>
      </c>
      <c r="E49" s="13">
        <v>3.25</v>
      </c>
      <c r="F49" s="13">
        <v>9.0699999999999896</v>
      </c>
      <c r="G49" s="14"/>
      <c r="H49" s="14"/>
      <c r="AMI49"/>
      <c r="AMJ49"/>
    </row>
    <row r="50" spans="1:1024">
      <c r="A50" s="29"/>
      <c r="B50" s="1">
        <v>0.2</v>
      </c>
      <c r="C50" s="13">
        <v>27.6111111111111</v>
      </c>
      <c r="D50" s="13">
        <v>23.886111111111099</v>
      </c>
      <c r="E50" s="13">
        <v>3.27</v>
      </c>
      <c r="F50" s="13">
        <v>9.06</v>
      </c>
      <c r="G50" s="14"/>
      <c r="H50" s="14"/>
      <c r="AMI50"/>
      <c r="AMJ50"/>
    </row>
    <row r="51" spans="1:1024">
      <c r="A51" s="29" t="s">
        <v>68</v>
      </c>
      <c r="B51" s="1">
        <v>0.1</v>
      </c>
      <c r="C51" s="13">
        <v>56.652095808383201</v>
      </c>
      <c r="D51" s="13">
        <v>33.258353293413101</v>
      </c>
      <c r="E51" s="13">
        <v>3.25</v>
      </c>
      <c r="F51" s="13">
        <v>9.0667664670658397</v>
      </c>
      <c r="G51" s="14"/>
      <c r="H51" s="14"/>
      <c r="AMI51"/>
      <c r="AMJ51"/>
    </row>
    <row r="52" spans="1:1024">
      <c r="A52" s="29"/>
      <c r="B52" s="1">
        <v>0.2</v>
      </c>
      <c r="C52" s="13">
        <v>66.476792452830097</v>
      </c>
      <c r="D52" s="13">
        <v>24.924830188679199</v>
      </c>
      <c r="E52" s="13">
        <v>3.2774150943396001</v>
      </c>
      <c r="F52" s="13">
        <v>9.0590566037735805</v>
      </c>
      <c r="G52" s="14"/>
      <c r="H52" s="14"/>
      <c r="AMI52"/>
      <c r="AMJ52"/>
    </row>
    <row r="53" spans="1:1024">
      <c r="A53" s="29" t="s">
        <v>69</v>
      </c>
      <c r="B53" s="1">
        <v>0.1</v>
      </c>
      <c r="C53" s="13">
        <v>30.032</v>
      </c>
      <c r="D53" s="13">
        <v>35.397599999999997</v>
      </c>
      <c r="E53" s="13">
        <v>3.25</v>
      </c>
      <c r="F53" s="13">
        <v>9.06</v>
      </c>
      <c r="G53" s="14"/>
      <c r="H53" s="14"/>
      <c r="AMI53"/>
      <c r="AMJ53"/>
    </row>
    <row r="54" spans="1:1024">
      <c r="A54" s="29"/>
      <c r="B54" s="1">
        <v>0.2</v>
      </c>
      <c r="C54" s="13">
        <v>30.030769230769199</v>
      </c>
      <c r="D54" s="15">
        <v>25.441538461538499</v>
      </c>
      <c r="E54" s="15">
        <v>3.28</v>
      </c>
      <c r="F54" s="15">
        <v>9.0500000000000007</v>
      </c>
      <c r="G54" s="14"/>
      <c r="H54" s="14"/>
      <c r="AMI54"/>
      <c r="AMJ54"/>
    </row>
    <row r="57" spans="1:1024">
      <c r="A57" s="4" t="s">
        <v>77</v>
      </c>
    </row>
    <row r="58" spans="1:1024" s="16" customFormat="1" ht="26.4">
      <c r="A58" s="9"/>
      <c r="B58" s="2" t="s">
        <v>78</v>
      </c>
      <c r="C58" s="2" t="s">
        <v>53</v>
      </c>
      <c r="D58" s="2" t="s">
        <v>54</v>
      </c>
      <c r="E58" s="2" t="s">
        <v>75</v>
      </c>
      <c r="F58" s="2" t="s">
        <v>76</v>
      </c>
    </row>
    <row r="59" spans="1:1024" ht="21.9" customHeight="1">
      <c r="A59" s="7" t="s">
        <v>79</v>
      </c>
      <c r="B59" s="1"/>
      <c r="C59" s="7"/>
      <c r="D59" s="7"/>
      <c r="E59" s="7"/>
      <c r="F59" s="7"/>
    </row>
    <row r="60" spans="1:1024">
      <c r="A60" s="7" t="s">
        <v>80</v>
      </c>
      <c r="B60" s="1"/>
      <c r="C60" s="7"/>
      <c r="D60" s="7"/>
      <c r="E60" s="7"/>
      <c r="F60" s="7"/>
    </row>
    <row r="62" spans="1:1024">
      <c r="A62" s="7"/>
      <c r="B62" s="29" t="s">
        <v>81</v>
      </c>
      <c r="C62" s="29"/>
      <c r="D62" s="29"/>
      <c r="E62" s="29"/>
      <c r="F62" s="29"/>
    </row>
    <row r="63" spans="1:1024" s="17" customFormat="1" ht="26.4">
      <c r="A63" s="2"/>
      <c r="B63" s="2" t="s">
        <v>82</v>
      </c>
      <c r="C63" s="2" t="s">
        <v>83</v>
      </c>
      <c r="D63" s="2" t="s">
        <v>84</v>
      </c>
      <c r="E63" s="2" t="s">
        <v>85</v>
      </c>
      <c r="F63" s="2" t="s">
        <v>86</v>
      </c>
    </row>
    <row r="64" spans="1:1024" ht="22.35" customHeight="1">
      <c r="A64" s="7" t="s">
        <v>87</v>
      </c>
      <c r="B64" s="1"/>
      <c r="C64" s="7"/>
      <c r="D64" s="7"/>
      <c r="E64" s="7"/>
      <c r="F64" s="7"/>
    </row>
    <row r="65" spans="1:6" ht="22.35" customHeight="1">
      <c r="A65" s="7" t="s">
        <v>88</v>
      </c>
      <c r="B65" s="1"/>
      <c r="C65" s="7"/>
      <c r="D65" s="7"/>
      <c r="E65" s="7"/>
      <c r="F65" s="7"/>
    </row>
  </sheetData>
  <mergeCells count="11">
    <mergeCell ref="B62:F62"/>
    <mergeCell ref="A45:A46"/>
    <mergeCell ref="A47:A48"/>
    <mergeCell ref="A49:A50"/>
    <mergeCell ref="A51:A52"/>
    <mergeCell ref="A53:A54"/>
    <mergeCell ref="A31:A32"/>
    <mergeCell ref="A33:A34"/>
    <mergeCell ref="A35:A36"/>
    <mergeCell ref="A37:A38"/>
    <mergeCell ref="A39:A40"/>
  </mergeCell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65"/>
  <sheetViews>
    <sheetView topLeftCell="B25" zoomScale="160" zoomScaleNormal="160" workbookViewId="0">
      <selection activeCell="C36" activeCellId="1" sqref="C2:G16 C36"/>
    </sheetView>
  </sheetViews>
  <sheetFormatPr defaultColWidth="11.5546875" defaultRowHeight="13.2"/>
  <cols>
    <col min="1" max="1" width="19.88671875" style="4" customWidth="1"/>
    <col min="2" max="2" width="22.109375" style="3" customWidth="1"/>
    <col min="3" max="3" width="25.109375" style="4" customWidth="1"/>
    <col min="4" max="8" width="21.77734375" style="4" customWidth="1"/>
    <col min="9" max="1024" width="11.5546875" style="4"/>
  </cols>
  <sheetData>
    <row r="1" spans="1:7">
      <c r="A1" s="4" t="s">
        <v>41</v>
      </c>
      <c r="B1" s="3" t="s">
        <v>42</v>
      </c>
      <c r="C1" s="4">
        <v>10000</v>
      </c>
    </row>
    <row r="2" spans="1:7">
      <c r="A2" s="4" t="s">
        <v>43</v>
      </c>
      <c r="B2" s="3" t="s">
        <v>44</v>
      </c>
      <c r="C2" s="4" t="s">
        <v>45</v>
      </c>
      <c r="D2" s="4" t="s">
        <v>46</v>
      </c>
      <c r="E2" s="4" t="s">
        <v>47</v>
      </c>
      <c r="F2" s="4" t="s">
        <v>48</v>
      </c>
      <c r="G2" s="4" t="s">
        <v>49</v>
      </c>
    </row>
    <row r="3" spans="1:7">
      <c r="A3" s="4" t="s">
        <v>25</v>
      </c>
    </row>
    <row r="4" spans="1:7">
      <c r="A4" s="4" t="s">
        <v>50</v>
      </c>
    </row>
    <row r="5" spans="1:7">
      <c r="A5" s="4" t="s">
        <v>51</v>
      </c>
    </row>
    <row r="6" spans="1:7">
      <c r="A6" s="4" t="s">
        <v>11</v>
      </c>
    </row>
    <row r="8" spans="1:7">
      <c r="A8" s="4" t="s">
        <v>28</v>
      </c>
    </row>
    <row r="9" spans="1:7">
      <c r="A9" s="4" t="s">
        <v>50</v>
      </c>
    </row>
    <row r="10" spans="1:7">
      <c r="A10" s="4" t="s">
        <v>51</v>
      </c>
    </row>
    <row r="11" spans="1:7">
      <c r="A11" s="4" t="s">
        <v>11</v>
      </c>
    </row>
    <row r="13" spans="1:7">
      <c r="A13" s="4" t="s">
        <v>52</v>
      </c>
    </row>
    <row r="14" spans="1:7">
      <c r="A14" s="4" t="s">
        <v>43</v>
      </c>
      <c r="B14" s="3" t="s">
        <v>53</v>
      </c>
      <c r="C14" s="4" t="s">
        <v>54</v>
      </c>
      <c r="D14" s="4" t="s">
        <v>55</v>
      </c>
      <c r="E14" s="4" t="s">
        <v>42</v>
      </c>
      <c r="F14" s="4" t="s">
        <v>56</v>
      </c>
    </row>
    <row r="15" spans="1:7">
      <c r="A15" s="4" t="s">
        <v>25</v>
      </c>
    </row>
    <row r="16" spans="1:7">
      <c r="A16" s="4" t="s">
        <v>50</v>
      </c>
    </row>
    <row r="17" spans="1:8">
      <c r="A17" s="4" t="s">
        <v>51</v>
      </c>
    </row>
    <row r="18" spans="1:8">
      <c r="A18" s="4" t="s">
        <v>11</v>
      </c>
    </row>
    <row r="20" spans="1:8">
      <c r="A20" s="4" t="s">
        <v>28</v>
      </c>
    </row>
    <row r="21" spans="1:8">
      <c r="A21" s="4" t="s">
        <v>50</v>
      </c>
    </row>
    <row r="22" spans="1:8">
      <c r="A22" s="4" t="s">
        <v>51</v>
      </c>
    </row>
    <row r="23" spans="1:8">
      <c r="A23" s="4" t="s">
        <v>11</v>
      </c>
    </row>
    <row r="25" spans="1:8">
      <c r="A25" s="4" t="s">
        <v>57</v>
      </c>
    </row>
    <row r="26" spans="1:8">
      <c r="A26" s="4" t="s">
        <v>43</v>
      </c>
      <c r="B26" s="3" t="s">
        <v>58</v>
      </c>
      <c r="C26" s="4" t="s">
        <v>59</v>
      </c>
    </row>
    <row r="27" spans="1:8">
      <c r="C27" s="4" t="s">
        <v>60</v>
      </c>
    </row>
    <row r="30" spans="1:8" s="6" customFormat="1" ht="26.4">
      <c r="A30" s="2" t="s">
        <v>61</v>
      </c>
      <c r="B30" s="2" t="s">
        <v>62</v>
      </c>
      <c r="C30" s="2" t="s">
        <v>63</v>
      </c>
      <c r="D30" s="2" t="s">
        <v>64</v>
      </c>
      <c r="E30" s="2" t="s">
        <v>46</v>
      </c>
      <c r="F30" s="2" t="s">
        <v>47</v>
      </c>
      <c r="G30" s="2" t="s">
        <v>48</v>
      </c>
      <c r="H30" s="2" t="s">
        <v>49</v>
      </c>
    </row>
    <row r="31" spans="1:8">
      <c r="A31" s="29" t="s">
        <v>65</v>
      </c>
      <c r="B31" s="1">
        <v>0.1</v>
      </c>
      <c r="C31" s="13">
        <v>62.654521000000003</v>
      </c>
      <c r="D31" s="13">
        <v>6.2654520999999999E-3</v>
      </c>
      <c r="E31" s="13">
        <v>5.7171664774810001E-3</v>
      </c>
      <c r="F31" s="13">
        <v>1.1325399277924E-2</v>
      </c>
      <c r="G31" s="13">
        <v>1.0519160000000001</v>
      </c>
      <c r="H31" s="13">
        <v>2.9150000000000001E-3</v>
      </c>
    </row>
    <row r="32" spans="1:8">
      <c r="A32" s="29"/>
      <c r="B32" s="1">
        <v>0.2</v>
      </c>
      <c r="C32" s="13">
        <v>60.633746000000002</v>
      </c>
      <c r="D32" s="13">
        <v>6.0633746000000001E-3</v>
      </c>
      <c r="E32" s="13">
        <v>5.4777926387600002E-3</v>
      </c>
      <c r="F32" s="13">
        <v>1.0758970014126E-2</v>
      </c>
      <c r="G32" s="13">
        <v>1.029209</v>
      </c>
      <c r="H32" s="13">
        <v>2.7980000000000001E-3</v>
      </c>
    </row>
    <row r="33" spans="1:1024">
      <c r="A33" s="29" t="s">
        <v>66</v>
      </c>
      <c r="B33" s="1">
        <v>0.1</v>
      </c>
      <c r="C33" s="13">
        <v>27.951604</v>
      </c>
      <c r="D33" s="13">
        <v>2.7951603999999998E-3</v>
      </c>
      <c r="E33" s="13">
        <v>2.7061126135130001E-3</v>
      </c>
      <c r="F33" s="13">
        <v>1.0421456036550001E-3</v>
      </c>
      <c r="G33" s="13">
        <v>2.9825999999999998E-2</v>
      </c>
      <c r="H33" s="13">
        <v>1.6069999999999999E-3</v>
      </c>
    </row>
    <row r="34" spans="1:1024">
      <c r="A34" s="29"/>
      <c r="B34" s="1">
        <v>0.2</v>
      </c>
      <c r="C34" s="13">
        <v>75.433330999999995</v>
      </c>
      <c r="D34" s="13">
        <v>7.5433330999999998E-3</v>
      </c>
      <c r="E34" s="13">
        <v>2.5854555385380002E-3</v>
      </c>
      <c r="F34" s="13">
        <v>0.16174034217223601</v>
      </c>
      <c r="G34" s="13">
        <v>6.5030400000000004</v>
      </c>
      <c r="H34" s="13">
        <v>1.421E-3</v>
      </c>
    </row>
    <row r="35" spans="1:1024">
      <c r="A35" s="29" t="s">
        <v>67</v>
      </c>
      <c r="B35" s="1">
        <v>0.1</v>
      </c>
      <c r="C35" s="13">
        <v>777.78881100000001</v>
      </c>
      <c r="D35" s="13">
        <v>7.7778881100000002E-2</v>
      </c>
      <c r="E35" s="13">
        <v>5.6988114706811997E-2</v>
      </c>
      <c r="F35" s="13">
        <v>9.2166870958927005E-2</v>
      </c>
      <c r="G35" s="13">
        <v>0.70614600000000005</v>
      </c>
      <c r="H35" s="13">
        <v>3.6298999999999998E-2</v>
      </c>
    </row>
    <row r="36" spans="1:1024">
      <c r="A36" s="29"/>
      <c r="B36" s="1">
        <v>0.2</v>
      </c>
      <c r="C36" s="13">
        <v>21.772217999999999</v>
      </c>
      <c r="D36" s="13">
        <v>2.1772217999999999E-3</v>
      </c>
      <c r="E36" s="13">
        <v>2.0912282065660001E-3</v>
      </c>
      <c r="F36" s="13">
        <v>1.0330901894499999E-3</v>
      </c>
      <c r="G36" s="13">
        <v>3.4870999999999999E-2</v>
      </c>
      <c r="H36" s="13">
        <v>1.3649999999999999E-3</v>
      </c>
    </row>
    <row r="37" spans="1:1024">
      <c r="A37" s="29" t="s">
        <v>68</v>
      </c>
      <c r="B37" s="1">
        <v>0.1</v>
      </c>
      <c r="C37" s="13">
        <v>1511.691376</v>
      </c>
      <c r="D37" s="13">
        <v>0.1511691376</v>
      </c>
      <c r="E37" s="13">
        <v>0.123782371591657</v>
      </c>
      <c r="F37" s="13">
        <v>8.0639882616913003E-2</v>
      </c>
      <c r="G37" s="13">
        <v>0.39782299999999998</v>
      </c>
      <c r="H37" s="13">
        <v>1.4482999999999999E-2</v>
      </c>
    </row>
    <row r="38" spans="1:1024">
      <c r="A38" s="29"/>
      <c r="B38" s="1">
        <v>0.2</v>
      </c>
      <c r="C38" s="13">
        <v>2550.9955970000001</v>
      </c>
      <c r="D38" s="13">
        <v>0.25509955969999898</v>
      </c>
      <c r="E38" s="13">
        <v>0.21348741564453899</v>
      </c>
      <c r="F38" s="13">
        <v>0.13158523180217399</v>
      </c>
      <c r="G38" s="13">
        <v>0.73670999999999998</v>
      </c>
      <c r="H38" s="13">
        <v>1.7330000000000002E-2</v>
      </c>
    </row>
    <row r="39" spans="1:1024">
      <c r="A39" s="29" t="s">
        <v>69</v>
      </c>
      <c r="B39" s="1">
        <v>0.1</v>
      </c>
      <c r="C39" s="13">
        <v>40.694277</v>
      </c>
      <c r="D39" s="13">
        <v>4.0694277000000003E-3</v>
      </c>
      <c r="E39" s="13">
        <v>3.9386499770180002E-3</v>
      </c>
      <c r="F39" s="13">
        <v>3.1581795437840001E-3</v>
      </c>
      <c r="G39" s="13">
        <v>0.29198600000000002</v>
      </c>
      <c r="H39" s="13">
        <v>2.4589999999999998E-3</v>
      </c>
    </row>
    <row r="40" spans="1:1024">
      <c r="A40" s="29"/>
      <c r="B40" s="1">
        <v>0.2</v>
      </c>
      <c r="C40" s="13">
        <v>36.798600999999998</v>
      </c>
      <c r="D40" s="13">
        <v>3.6798601000000001E-3</v>
      </c>
      <c r="E40" s="13">
        <v>3.4926070831780001E-3</v>
      </c>
      <c r="F40" s="13">
        <v>3.284545784889E-3</v>
      </c>
      <c r="G40" s="13">
        <v>0.28952899999999998</v>
      </c>
      <c r="H40" s="13">
        <v>2.222E-3</v>
      </c>
    </row>
    <row r="43" spans="1:1024">
      <c r="A43" s="4" t="s">
        <v>70</v>
      </c>
    </row>
    <row r="44" spans="1:1024" s="6" customFormat="1" ht="26.4">
      <c r="A44" s="2" t="s">
        <v>61</v>
      </c>
      <c r="B44" s="2" t="s">
        <v>62</v>
      </c>
      <c r="C44" s="5" t="s">
        <v>71</v>
      </c>
      <c r="D44" s="2" t="s">
        <v>72</v>
      </c>
      <c r="E44" s="2" t="s">
        <v>73</v>
      </c>
      <c r="F44" s="5" t="s">
        <v>74</v>
      </c>
      <c r="G44" s="2" t="s">
        <v>75</v>
      </c>
      <c r="H44" s="2" t="s">
        <v>76</v>
      </c>
      <c r="AMI44"/>
      <c r="AMJ44"/>
    </row>
    <row r="45" spans="1:1024">
      <c r="A45" s="29" t="s">
        <v>65</v>
      </c>
      <c r="B45" s="1">
        <v>0.1</v>
      </c>
      <c r="C45" s="13">
        <v>43.496774193548397</v>
      </c>
      <c r="D45" s="13">
        <v>24.7867741935484</v>
      </c>
      <c r="E45" s="13">
        <v>3.24</v>
      </c>
      <c r="F45" s="13">
        <v>9.07</v>
      </c>
      <c r="G45" s="14"/>
      <c r="H45" s="14"/>
      <c r="AMI45"/>
      <c r="AMJ45"/>
    </row>
    <row r="46" spans="1:1024">
      <c r="A46" s="29"/>
      <c r="B46" s="1">
        <v>0.2</v>
      </c>
      <c r="C46" s="15">
        <v>44.471874999999997</v>
      </c>
      <c r="D46" s="15">
        <v>23.401875</v>
      </c>
      <c r="E46" s="15">
        <v>3.27</v>
      </c>
      <c r="F46" s="13">
        <v>9.06</v>
      </c>
      <c r="G46" s="14"/>
      <c r="H46" s="14"/>
      <c r="AMI46"/>
      <c r="AMJ46"/>
    </row>
    <row r="47" spans="1:1024">
      <c r="A47" s="29" t="s">
        <v>66</v>
      </c>
      <c r="B47" s="1">
        <v>0.1</v>
      </c>
      <c r="C47" s="13">
        <v>28.625</v>
      </c>
      <c r="D47" s="13">
        <v>27.385999999999999</v>
      </c>
      <c r="E47" s="13">
        <v>3.2484999999999999</v>
      </c>
      <c r="F47" s="13">
        <v>9.07</v>
      </c>
      <c r="G47" s="14"/>
      <c r="H47" s="14"/>
      <c r="AMI47"/>
      <c r="AMJ47"/>
    </row>
    <row r="48" spans="1:1024">
      <c r="A48" s="29"/>
      <c r="B48" s="1">
        <v>0.2</v>
      </c>
      <c r="C48" s="13">
        <v>91.856666666666698</v>
      </c>
      <c r="D48" s="13">
        <v>23.818000000000001</v>
      </c>
      <c r="E48" s="13">
        <v>3.27</v>
      </c>
      <c r="F48" s="13">
        <v>9.06</v>
      </c>
      <c r="G48" s="14"/>
      <c r="H48" s="14"/>
      <c r="AMI48"/>
      <c r="AMJ48"/>
    </row>
    <row r="49" spans="1:1024">
      <c r="A49" s="29" t="s">
        <v>67</v>
      </c>
      <c r="B49" s="1">
        <v>0.1</v>
      </c>
      <c r="C49" s="13">
        <v>14.4625641025641</v>
      </c>
      <c r="D49" s="13">
        <v>27.640358974359</v>
      </c>
      <c r="E49" s="13">
        <v>3.25</v>
      </c>
      <c r="F49" s="13">
        <v>9.0699999999999896</v>
      </c>
      <c r="G49" s="14"/>
      <c r="H49" s="14"/>
      <c r="AMI49"/>
      <c r="AMJ49"/>
    </row>
    <row r="50" spans="1:1024">
      <c r="A50" s="29"/>
      <c r="B50" s="1">
        <v>0.2</v>
      </c>
      <c r="C50" s="13">
        <v>27.6111111111111</v>
      </c>
      <c r="D50" s="13">
        <v>23.886111111111099</v>
      </c>
      <c r="E50" s="13">
        <v>3.27</v>
      </c>
      <c r="F50" s="13">
        <v>9.06</v>
      </c>
      <c r="G50" s="14"/>
      <c r="H50" s="14"/>
      <c r="AMI50"/>
      <c r="AMJ50"/>
    </row>
    <row r="51" spans="1:1024">
      <c r="A51" s="29" t="s">
        <v>68</v>
      </c>
      <c r="B51" s="1">
        <v>0.1</v>
      </c>
      <c r="C51" s="13">
        <v>56.652095808383201</v>
      </c>
      <c r="D51" s="13">
        <v>33.258353293413101</v>
      </c>
      <c r="E51" s="13">
        <v>3.25</v>
      </c>
      <c r="F51" s="13">
        <v>9.0667664670658397</v>
      </c>
      <c r="G51" s="14"/>
      <c r="H51" s="14"/>
      <c r="AMI51"/>
      <c r="AMJ51"/>
    </row>
    <row r="52" spans="1:1024">
      <c r="A52" s="29"/>
      <c r="B52" s="1">
        <v>0.2</v>
      </c>
      <c r="C52" s="13">
        <v>66.476792452830097</v>
      </c>
      <c r="D52" s="13">
        <v>24.924830188679199</v>
      </c>
      <c r="E52" s="13">
        <v>3.2774150943396001</v>
      </c>
      <c r="F52" s="13">
        <v>9.0590566037735805</v>
      </c>
      <c r="G52" s="14"/>
      <c r="H52" s="14"/>
      <c r="AMI52"/>
      <c r="AMJ52"/>
    </row>
    <row r="53" spans="1:1024">
      <c r="A53" s="29" t="s">
        <v>69</v>
      </c>
      <c r="B53" s="1">
        <v>0.1</v>
      </c>
      <c r="C53" s="13">
        <v>30.032</v>
      </c>
      <c r="D53" s="13">
        <v>35.397599999999997</v>
      </c>
      <c r="E53" s="13">
        <v>3.25</v>
      </c>
      <c r="F53" s="13">
        <v>9.06</v>
      </c>
      <c r="G53" s="14"/>
      <c r="H53" s="14"/>
      <c r="AMI53"/>
      <c r="AMJ53"/>
    </row>
    <row r="54" spans="1:1024">
      <c r="A54" s="29"/>
      <c r="B54" s="1">
        <v>0.2</v>
      </c>
      <c r="C54" s="13">
        <v>30.030769230769199</v>
      </c>
      <c r="D54" s="15">
        <v>25.441538461538499</v>
      </c>
      <c r="E54" s="15">
        <v>3.28</v>
      </c>
      <c r="F54" s="15">
        <v>9.0500000000000007</v>
      </c>
      <c r="G54" s="14"/>
      <c r="H54" s="14"/>
      <c r="AMI54"/>
      <c r="AMJ54"/>
    </row>
    <row r="57" spans="1:1024">
      <c r="A57" s="4" t="s">
        <v>77</v>
      </c>
    </row>
    <row r="58" spans="1:1024" s="16" customFormat="1" ht="26.4">
      <c r="A58" s="9"/>
      <c r="B58" s="2" t="s">
        <v>78</v>
      </c>
      <c r="C58" s="2" t="s">
        <v>53</v>
      </c>
      <c r="D58" s="2" t="s">
        <v>54</v>
      </c>
      <c r="E58" s="2" t="s">
        <v>75</v>
      </c>
      <c r="F58" s="2" t="s">
        <v>76</v>
      </c>
    </row>
    <row r="59" spans="1:1024" ht="21.9" customHeight="1">
      <c r="A59" s="7" t="s">
        <v>79</v>
      </c>
      <c r="B59" s="1"/>
      <c r="C59" s="7"/>
      <c r="D59" s="7"/>
      <c r="E59" s="7"/>
      <c r="F59" s="7"/>
    </row>
    <row r="60" spans="1:1024">
      <c r="A60" s="7" t="s">
        <v>80</v>
      </c>
      <c r="B60" s="1"/>
      <c r="C60" s="7"/>
      <c r="D60" s="7"/>
      <c r="E60" s="7"/>
      <c r="F60" s="7"/>
    </row>
    <row r="62" spans="1:1024">
      <c r="A62" s="7"/>
      <c r="B62" s="29" t="s">
        <v>81</v>
      </c>
      <c r="C62" s="29"/>
      <c r="D62" s="29"/>
      <c r="E62" s="29"/>
      <c r="F62" s="29"/>
    </row>
    <row r="63" spans="1:1024" s="17" customFormat="1" ht="26.4">
      <c r="A63" s="2"/>
      <c r="B63" s="2" t="s">
        <v>82</v>
      </c>
      <c r="C63" s="2" t="s">
        <v>83</v>
      </c>
      <c r="D63" s="2" t="s">
        <v>84</v>
      </c>
      <c r="E63" s="2" t="s">
        <v>85</v>
      </c>
      <c r="F63" s="2" t="s">
        <v>86</v>
      </c>
    </row>
    <row r="64" spans="1:1024" ht="22.35" customHeight="1">
      <c r="A64" s="7" t="s">
        <v>87</v>
      </c>
      <c r="B64" s="1"/>
      <c r="C64" s="7"/>
      <c r="D64" s="7"/>
      <c r="E64" s="7"/>
      <c r="F64" s="7"/>
    </row>
    <row r="65" spans="1:6" ht="22.35" customHeight="1">
      <c r="A65" s="7" t="s">
        <v>88</v>
      </c>
      <c r="B65" s="1"/>
      <c r="C65" s="7"/>
      <c r="D65" s="7"/>
      <c r="E65" s="7"/>
      <c r="F65" s="7"/>
    </row>
  </sheetData>
  <mergeCells count="11">
    <mergeCell ref="B62:F62"/>
    <mergeCell ref="A45:A46"/>
    <mergeCell ref="A47:A48"/>
    <mergeCell ref="A49:A50"/>
    <mergeCell ref="A51:A52"/>
    <mergeCell ref="A53:A54"/>
    <mergeCell ref="A31:A32"/>
    <mergeCell ref="A33:A34"/>
    <mergeCell ref="A35:A36"/>
    <mergeCell ref="A37:A38"/>
    <mergeCell ref="A39:A40"/>
  </mergeCell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69"/>
  <sheetViews>
    <sheetView topLeftCell="B31" zoomScale="160" zoomScaleNormal="160" workbookViewId="0">
      <selection activeCell="C51" activeCellId="1" sqref="C2:G16 C51"/>
    </sheetView>
  </sheetViews>
  <sheetFormatPr defaultColWidth="11.5546875" defaultRowHeight="13.2"/>
  <cols>
    <col min="1" max="1" width="19.88671875" style="4" customWidth="1"/>
    <col min="2" max="2" width="22.109375" style="3" customWidth="1"/>
    <col min="3" max="3" width="25.109375" style="4" customWidth="1"/>
    <col min="4" max="8" width="21.77734375" style="4" customWidth="1"/>
    <col min="9" max="1024" width="11.5546875" style="4"/>
  </cols>
  <sheetData>
    <row r="1" spans="1:7">
      <c r="A1" s="4" t="s">
        <v>41</v>
      </c>
      <c r="B1" s="3" t="s">
        <v>42</v>
      </c>
      <c r="C1" s="4">
        <v>10000</v>
      </c>
    </row>
    <row r="2" spans="1:7">
      <c r="A2" s="4" t="s">
        <v>43</v>
      </c>
      <c r="B2" s="3" t="s">
        <v>44</v>
      </c>
      <c r="C2" s="4" t="s">
        <v>45</v>
      </c>
      <c r="D2" s="4" t="s">
        <v>46</v>
      </c>
      <c r="E2" s="4" t="s">
        <v>47</v>
      </c>
      <c r="F2" s="4" t="s">
        <v>48</v>
      </c>
      <c r="G2" s="4" t="s">
        <v>49</v>
      </c>
    </row>
    <row r="3" spans="1:7">
      <c r="A3" s="4" t="s">
        <v>25</v>
      </c>
    </row>
    <row r="4" spans="1:7">
      <c r="A4" s="4" t="s">
        <v>50</v>
      </c>
    </row>
    <row r="5" spans="1:7">
      <c r="A5" s="4" t="s">
        <v>51</v>
      </c>
    </row>
    <row r="6" spans="1:7">
      <c r="A6" s="4" t="s">
        <v>11</v>
      </c>
    </row>
    <row r="8" spans="1:7">
      <c r="A8" s="4" t="s">
        <v>28</v>
      </c>
    </row>
    <row r="9" spans="1:7">
      <c r="A9" s="4" t="s">
        <v>50</v>
      </c>
    </row>
    <row r="10" spans="1:7">
      <c r="A10" s="4" t="s">
        <v>51</v>
      </c>
    </row>
    <row r="11" spans="1:7">
      <c r="A11" s="4" t="s">
        <v>11</v>
      </c>
    </row>
    <row r="13" spans="1:7">
      <c r="A13" s="4" t="s">
        <v>52</v>
      </c>
    </row>
    <row r="14" spans="1:7">
      <c r="A14" s="4" t="s">
        <v>43</v>
      </c>
      <c r="B14" s="3" t="s">
        <v>53</v>
      </c>
      <c r="C14" s="4" t="s">
        <v>54</v>
      </c>
      <c r="D14" s="4" t="s">
        <v>55</v>
      </c>
      <c r="E14" s="4" t="s">
        <v>42</v>
      </c>
      <c r="F14" s="4" t="s">
        <v>56</v>
      </c>
    </row>
    <row r="15" spans="1:7">
      <c r="A15" s="4" t="s">
        <v>25</v>
      </c>
    </row>
    <row r="16" spans="1:7">
      <c r="A16" s="4" t="s">
        <v>50</v>
      </c>
    </row>
    <row r="17" spans="1:1024">
      <c r="A17" s="4" t="s">
        <v>51</v>
      </c>
    </row>
    <row r="18" spans="1:1024">
      <c r="A18" s="4" t="s">
        <v>11</v>
      </c>
    </row>
    <row r="20" spans="1:1024">
      <c r="A20" s="4" t="s">
        <v>28</v>
      </c>
    </row>
    <row r="21" spans="1:1024">
      <c r="A21" s="4" t="s">
        <v>50</v>
      </c>
    </row>
    <row r="22" spans="1:1024">
      <c r="A22" s="4" t="s">
        <v>51</v>
      </c>
    </row>
    <row r="23" spans="1:1024">
      <c r="A23" s="4" t="s">
        <v>11</v>
      </c>
    </row>
    <row r="25" spans="1:1024">
      <c r="A25" s="4" t="s">
        <v>57</v>
      </c>
    </row>
    <row r="26" spans="1:1024">
      <c r="A26" s="4" t="s">
        <v>43</v>
      </c>
      <c r="B26" s="3" t="s">
        <v>58</v>
      </c>
      <c r="C26" s="4" t="s">
        <v>59</v>
      </c>
    </row>
    <row r="27" spans="1:1024">
      <c r="C27" s="4" t="s">
        <v>60</v>
      </c>
    </row>
    <row r="30" spans="1:1024" s="6" customFormat="1" ht="26.4">
      <c r="A30" s="2" t="s">
        <v>61</v>
      </c>
      <c r="B30" s="2" t="s">
        <v>62</v>
      </c>
      <c r="C30" s="2" t="s">
        <v>63</v>
      </c>
      <c r="D30" s="2" t="s">
        <v>64</v>
      </c>
      <c r="E30" s="2" t="s">
        <v>47</v>
      </c>
      <c r="F30" s="2" t="s">
        <v>48</v>
      </c>
      <c r="G30" s="2" t="s">
        <v>49</v>
      </c>
      <c r="AMJ30"/>
    </row>
    <row r="31" spans="1:1024">
      <c r="A31" s="29" t="s">
        <v>65</v>
      </c>
      <c r="B31" s="1">
        <v>0.1</v>
      </c>
      <c r="C31" s="13">
        <v>62.654521000000003</v>
      </c>
      <c r="D31" s="13">
        <v>6.2654520999999999E-3</v>
      </c>
      <c r="E31" s="13">
        <v>1.1325399277924E-2</v>
      </c>
      <c r="F31" s="13">
        <v>1.0519160000000001</v>
      </c>
      <c r="G31" s="13">
        <v>2.9150000000000001E-3</v>
      </c>
      <c r="AMJ31"/>
    </row>
    <row r="32" spans="1:1024">
      <c r="A32" s="29"/>
      <c r="B32" s="1">
        <v>0.2</v>
      </c>
      <c r="C32" s="13">
        <v>60.633746000000002</v>
      </c>
      <c r="D32" s="13">
        <v>6.0633746000000001E-3</v>
      </c>
      <c r="E32" s="13">
        <v>1.0758970014126E-2</v>
      </c>
      <c r="F32" s="13">
        <v>1.029209</v>
      </c>
      <c r="G32" s="13">
        <v>2.7980000000000001E-3</v>
      </c>
      <c r="AMJ32"/>
    </row>
    <row r="33" spans="1:1024">
      <c r="A33" s="1"/>
      <c r="B33" s="1" t="s">
        <v>89</v>
      </c>
      <c r="C33" s="18">
        <f>(C31-C32)/C31</f>
        <v>3.225266058613712E-2</v>
      </c>
      <c r="D33" s="18">
        <f>(D31-D32)/D31</f>
        <v>3.2252660586137093E-2</v>
      </c>
      <c r="E33" s="18">
        <f>(E31-E32)/E31</f>
        <v>5.0014065720588752E-2</v>
      </c>
      <c r="F33" s="18">
        <f>(F31-F32)/F31</f>
        <v>2.1586324383315807E-2</v>
      </c>
      <c r="G33" s="18">
        <f>(G31-G32)/G31</f>
        <v>4.0137221269296711E-2</v>
      </c>
      <c r="AMJ33"/>
    </row>
    <row r="34" spans="1:1024">
      <c r="A34" s="29" t="s">
        <v>66</v>
      </c>
      <c r="B34" s="1">
        <v>0.1</v>
      </c>
      <c r="C34" s="13">
        <v>27.951604</v>
      </c>
      <c r="D34" s="13">
        <v>2.7951603999999998E-3</v>
      </c>
      <c r="E34" s="13">
        <v>1.0421456036550001E-3</v>
      </c>
      <c r="F34" s="13">
        <v>2.9825999999999998E-2</v>
      </c>
      <c r="G34" s="13">
        <v>1.6069999999999999E-3</v>
      </c>
      <c r="AMJ34"/>
    </row>
    <row r="35" spans="1:1024">
      <c r="A35" s="29"/>
      <c r="B35" s="1">
        <v>0.2</v>
      </c>
      <c r="C35" s="13">
        <v>75.433330999999995</v>
      </c>
      <c r="D35" s="13">
        <v>7.5433330999999998E-3</v>
      </c>
      <c r="E35" s="13">
        <v>0.16174034217223601</v>
      </c>
      <c r="F35" s="13">
        <v>6.5030400000000004</v>
      </c>
      <c r="G35" s="13">
        <v>1.421E-3</v>
      </c>
      <c r="AMJ35"/>
    </row>
    <row r="36" spans="1:1024">
      <c r="A36" s="1"/>
      <c r="B36" s="1"/>
      <c r="C36" s="18">
        <f>(C34-C35)/C34</f>
        <v>-1.6987120667565265</v>
      </c>
      <c r="D36" s="18">
        <f>(D34-D35)/D34</f>
        <v>-1.6987120667565268</v>
      </c>
      <c r="E36" s="18">
        <f>(E34-E35)/E34</f>
        <v>-154.19937099478449</v>
      </c>
      <c r="F36" s="18">
        <f>(F34-F35)/F34</f>
        <v>-217.03258901629454</v>
      </c>
      <c r="G36" s="18">
        <f>(G34-G35)/G34</f>
        <v>0.11574362165525823</v>
      </c>
      <c r="AMJ36"/>
    </row>
    <row r="37" spans="1:1024">
      <c r="A37" s="29" t="s">
        <v>67</v>
      </c>
      <c r="B37" s="1">
        <v>0.1</v>
      </c>
      <c r="C37" s="13">
        <v>777.78881100000001</v>
      </c>
      <c r="D37" s="13">
        <v>7.7778881100000002E-2</v>
      </c>
      <c r="E37" s="13">
        <v>9.2166870958927005E-2</v>
      </c>
      <c r="F37" s="13">
        <v>0.70614600000000005</v>
      </c>
      <c r="G37" s="13">
        <v>3.6298999999999998E-2</v>
      </c>
      <c r="AMJ37"/>
    </row>
    <row r="38" spans="1:1024">
      <c r="A38" s="29"/>
      <c r="B38" s="1">
        <v>0.2</v>
      </c>
      <c r="C38" s="13">
        <v>21.772217999999999</v>
      </c>
      <c r="D38" s="13">
        <v>2.1772217999999999E-3</v>
      </c>
      <c r="E38" s="13">
        <v>1.0330901894499999E-3</v>
      </c>
      <c r="F38" s="13">
        <v>3.4870999999999999E-2</v>
      </c>
      <c r="G38" s="13">
        <v>1.3649999999999999E-3</v>
      </c>
      <c r="AMJ38"/>
    </row>
    <row r="39" spans="1:1024">
      <c r="A39" s="1"/>
      <c r="B39" s="1"/>
      <c r="C39" s="18">
        <f>(C37-C38)/C37</f>
        <v>0.97200754537467893</v>
      </c>
      <c r="D39" s="18">
        <f>(D37-D38)/D37</f>
        <v>0.97200754537467882</v>
      </c>
      <c r="E39" s="18">
        <f>(E37-E38)/E37</f>
        <v>0.98879108969739915</v>
      </c>
      <c r="F39" s="18">
        <f>(F37-F38)/F37</f>
        <v>0.95061786089562217</v>
      </c>
      <c r="G39" s="18">
        <f>(G37-G38)/G37</f>
        <v>0.96239565828259732</v>
      </c>
      <c r="AMJ39"/>
    </row>
    <row r="40" spans="1:1024">
      <c r="A40" s="29" t="s">
        <v>68</v>
      </c>
      <c r="B40" s="1">
        <v>0.1</v>
      </c>
      <c r="C40" s="13">
        <v>1511.691376</v>
      </c>
      <c r="D40" s="13">
        <v>0.1511691376</v>
      </c>
      <c r="E40" s="13">
        <v>8.0639882616913003E-2</v>
      </c>
      <c r="F40" s="13">
        <v>0.39782299999999998</v>
      </c>
      <c r="G40" s="13">
        <v>1.4482999999999999E-2</v>
      </c>
      <c r="AMJ40"/>
    </row>
    <row r="41" spans="1:1024">
      <c r="A41" s="29"/>
      <c r="B41" s="1">
        <v>0.2</v>
      </c>
      <c r="C41" s="13">
        <v>2550.9955970000001</v>
      </c>
      <c r="D41" s="13">
        <v>0.25509955969999898</v>
      </c>
      <c r="E41" s="13">
        <v>0.13158523180217399</v>
      </c>
      <c r="F41" s="13">
        <v>0.73670999999999998</v>
      </c>
      <c r="G41" s="13">
        <v>1.7330000000000002E-2</v>
      </c>
      <c r="AMJ41"/>
    </row>
    <row r="42" spans="1:1024">
      <c r="A42" s="1"/>
      <c r="B42" s="1"/>
      <c r="C42" s="18">
        <f>(C40-C41)/C40</f>
        <v>-0.68751084877525959</v>
      </c>
      <c r="D42" s="18">
        <f>(D40-D41)/D40</f>
        <v>-0.6875108487752527</v>
      </c>
      <c r="E42" s="18">
        <f>(E40-E41)/E40</f>
        <v>-0.63176368233670976</v>
      </c>
      <c r="F42" s="18">
        <f>(F40-F41)/F40</f>
        <v>-0.85185371383756092</v>
      </c>
      <c r="G42" s="18">
        <f>(G40-G41)/G40</f>
        <v>-0.19657529517365205</v>
      </c>
      <c r="AMJ42"/>
    </row>
    <row r="43" spans="1:1024">
      <c r="A43" s="29" t="s">
        <v>69</v>
      </c>
      <c r="B43" s="1">
        <v>0.1</v>
      </c>
      <c r="C43" s="13">
        <v>40.694277</v>
      </c>
      <c r="D43" s="13">
        <v>4.0694277000000003E-3</v>
      </c>
      <c r="E43" s="13">
        <v>3.1581795437840001E-3</v>
      </c>
      <c r="F43" s="13">
        <v>0.29198600000000002</v>
      </c>
      <c r="G43" s="13">
        <v>2.4589999999999998E-3</v>
      </c>
      <c r="AMJ43"/>
    </row>
    <row r="44" spans="1:1024">
      <c r="A44" s="29"/>
      <c r="B44" s="1">
        <v>0.2</v>
      </c>
      <c r="C44" s="13">
        <v>36.798600999999998</v>
      </c>
      <c r="D44" s="13">
        <v>3.6798601000000001E-3</v>
      </c>
      <c r="E44" s="13">
        <v>3.284545784889E-3</v>
      </c>
      <c r="F44" s="13">
        <v>0.28952899999999998</v>
      </c>
      <c r="G44" s="13">
        <v>2.222E-3</v>
      </c>
      <c r="AMJ44"/>
    </row>
    <row r="45" spans="1:1024">
      <c r="C45" s="18">
        <f>(C43-C44)/C43</f>
        <v>9.5730316083512235E-2</v>
      </c>
      <c r="D45" s="18">
        <f>(D43-D44)/D43</f>
        <v>9.5730316083512221E-2</v>
      </c>
      <c r="E45" s="18">
        <f>(E43-E44)/E43</f>
        <v>-4.0012367679892268E-2</v>
      </c>
      <c r="F45" s="18">
        <f>(F43-F44)/F43</f>
        <v>8.4147870103362561E-3</v>
      </c>
      <c r="G45" s="18">
        <f>(G43-G44)/G43</f>
        <v>9.6380642537616842E-2</v>
      </c>
    </row>
    <row r="47" spans="1:1024">
      <c r="A47" s="4" t="s">
        <v>70</v>
      </c>
    </row>
    <row r="48" spans="1:1024" s="6" customFormat="1" ht="26.4">
      <c r="A48" s="2" t="s">
        <v>61</v>
      </c>
      <c r="B48" s="2" t="s">
        <v>62</v>
      </c>
      <c r="C48" s="5" t="s">
        <v>71</v>
      </c>
      <c r="D48" s="2" t="s">
        <v>72</v>
      </c>
      <c r="E48" s="2" t="s">
        <v>73</v>
      </c>
      <c r="F48" s="5" t="s">
        <v>74</v>
      </c>
      <c r="G48" s="2" t="s">
        <v>75</v>
      </c>
      <c r="H48" s="2" t="s">
        <v>76</v>
      </c>
      <c r="AMI48"/>
      <c r="AMJ48"/>
    </row>
    <row r="49" spans="1:1024">
      <c r="A49" s="29" t="s">
        <v>65</v>
      </c>
      <c r="B49" s="1">
        <v>0.1</v>
      </c>
      <c r="C49" s="13">
        <v>43.496774193548397</v>
      </c>
      <c r="D49" s="13">
        <v>24.7867741935484</v>
      </c>
      <c r="E49" s="13">
        <v>3.24</v>
      </c>
      <c r="F49" s="13">
        <v>9.07</v>
      </c>
      <c r="G49" s="14"/>
      <c r="H49" s="14"/>
      <c r="AMI49"/>
      <c r="AMJ49"/>
    </row>
    <row r="50" spans="1:1024">
      <c r="A50" s="29"/>
      <c r="B50" s="1">
        <v>0.2</v>
      </c>
      <c r="C50" s="15">
        <v>44.471874999999997</v>
      </c>
      <c r="D50" s="15">
        <v>23.401875</v>
      </c>
      <c r="E50" s="15">
        <v>3.27</v>
      </c>
      <c r="F50" s="13">
        <v>9.06</v>
      </c>
      <c r="G50" s="14"/>
      <c r="H50" s="14"/>
      <c r="AMI50"/>
      <c r="AMJ50"/>
    </row>
    <row r="51" spans="1:1024">
      <c r="A51" s="29" t="s">
        <v>66</v>
      </c>
      <c r="B51" s="1">
        <v>0.1</v>
      </c>
      <c r="C51" s="13">
        <v>28.625</v>
      </c>
      <c r="D51" s="13">
        <v>27.385999999999999</v>
      </c>
      <c r="E51" s="13">
        <v>3.2484999999999999</v>
      </c>
      <c r="F51" s="13">
        <v>9.07</v>
      </c>
      <c r="G51" s="14"/>
      <c r="H51" s="14"/>
      <c r="AMI51"/>
      <c r="AMJ51"/>
    </row>
    <row r="52" spans="1:1024">
      <c r="A52" s="29"/>
      <c r="B52" s="1">
        <v>0.2</v>
      </c>
      <c r="C52" s="13">
        <v>91.856666666666698</v>
      </c>
      <c r="D52" s="13">
        <v>23.818000000000001</v>
      </c>
      <c r="E52" s="13">
        <v>3.27</v>
      </c>
      <c r="F52" s="13">
        <v>9.06</v>
      </c>
      <c r="G52" s="14"/>
      <c r="H52" s="14"/>
      <c r="AMI52"/>
      <c r="AMJ52"/>
    </row>
    <row r="53" spans="1:1024">
      <c r="A53" s="29" t="s">
        <v>67</v>
      </c>
      <c r="B53" s="1">
        <v>0.1</v>
      </c>
      <c r="C53" s="13">
        <v>14.4625641025641</v>
      </c>
      <c r="D53" s="13">
        <v>27.640358974359</v>
      </c>
      <c r="E53" s="13">
        <v>3.25</v>
      </c>
      <c r="F53" s="13">
        <v>9.0699999999999896</v>
      </c>
      <c r="G53" s="14"/>
      <c r="H53" s="14"/>
      <c r="AMI53"/>
      <c r="AMJ53"/>
    </row>
    <row r="54" spans="1:1024">
      <c r="A54" s="29"/>
      <c r="B54" s="1">
        <v>0.2</v>
      </c>
      <c r="C54" s="13">
        <v>27.6111111111111</v>
      </c>
      <c r="D54" s="13">
        <v>23.886111111111099</v>
      </c>
      <c r="E54" s="13">
        <v>3.27</v>
      </c>
      <c r="F54" s="13">
        <v>9.06</v>
      </c>
      <c r="G54" s="14"/>
      <c r="H54" s="14"/>
      <c r="AMI54"/>
      <c r="AMJ54"/>
    </row>
    <row r="55" spans="1:1024">
      <c r="A55" s="29" t="s">
        <v>68</v>
      </c>
      <c r="B55" s="1">
        <v>0.1</v>
      </c>
      <c r="C55" s="13">
        <v>56.652095808383201</v>
      </c>
      <c r="D55" s="13">
        <v>33.258353293413101</v>
      </c>
      <c r="E55" s="13">
        <v>3.25</v>
      </c>
      <c r="F55" s="13">
        <v>9.0667664670658397</v>
      </c>
      <c r="G55" s="14"/>
      <c r="H55" s="14"/>
      <c r="AMI55"/>
      <c r="AMJ55"/>
    </row>
    <row r="56" spans="1:1024">
      <c r="A56" s="29"/>
      <c r="B56" s="1">
        <v>0.2</v>
      </c>
      <c r="C56" s="13">
        <v>66.476792452830097</v>
      </c>
      <c r="D56" s="13">
        <v>24.924830188679199</v>
      </c>
      <c r="E56" s="13">
        <v>3.2774150943396001</v>
      </c>
      <c r="F56" s="13">
        <v>9.0590566037735805</v>
      </c>
      <c r="G56" s="14"/>
      <c r="H56" s="14"/>
      <c r="AMI56"/>
      <c r="AMJ56"/>
    </row>
    <row r="57" spans="1:1024">
      <c r="A57" s="29" t="s">
        <v>69</v>
      </c>
      <c r="B57" s="1">
        <v>0.1</v>
      </c>
      <c r="C57" s="13">
        <v>30.032</v>
      </c>
      <c r="D57" s="13">
        <v>35.397599999999997</v>
      </c>
      <c r="E57" s="13">
        <v>3.25</v>
      </c>
      <c r="F57" s="13">
        <v>9.06</v>
      </c>
      <c r="G57" s="14"/>
      <c r="H57" s="14"/>
      <c r="AMI57"/>
      <c r="AMJ57"/>
    </row>
    <row r="58" spans="1:1024">
      <c r="A58" s="29"/>
      <c r="B58" s="1">
        <v>0.2</v>
      </c>
      <c r="C58" s="13">
        <v>30.030769230769199</v>
      </c>
      <c r="D58" s="15">
        <v>25.441538461538499</v>
      </c>
      <c r="E58" s="15">
        <v>3.28</v>
      </c>
      <c r="F58" s="15">
        <v>9.0500000000000007</v>
      </c>
      <c r="G58" s="14"/>
      <c r="H58" s="14"/>
      <c r="AMI58"/>
      <c r="AMJ58"/>
    </row>
    <row r="61" spans="1:1024">
      <c r="A61" s="4" t="s">
        <v>77</v>
      </c>
    </row>
    <row r="62" spans="1:1024" s="16" customFormat="1" ht="26.4">
      <c r="A62" s="9"/>
      <c r="B62" s="2" t="s">
        <v>78</v>
      </c>
      <c r="C62" s="2" t="s">
        <v>53</v>
      </c>
      <c r="D62" s="2" t="s">
        <v>54</v>
      </c>
      <c r="E62" s="2" t="s">
        <v>75</v>
      </c>
      <c r="F62" s="2" t="s">
        <v>76</v>
      </c>
    </row>
    <row r="63" spans="1:1024" ht="21.9" customHeight="1">
      <c r="A63" s="7" t="s">
        <v>79</v>
      </c>
      <c r="B63" s="1"/>
      <c r="C63" s="7"/>
      <c r="D63" s="7"/>
      <c r="E63" s="7"/>
      <c r="F63" s="7"/>
    </row>
    <row r="64" spans="1:1024">
      <c r="A64" s="7" t="s">
        <v>80</v>
      </c>
      <c r="B64" s="1"/>
      <c r="C64" s="7"/>
      <c r="D64" s="7"/>
      <c r="E64" s="7"/>
      <c r="F64" s="7"/>
    </row>
    <row r="66" spans="1:6">
      <c r="A66" s="7"/>
      <c r="B66" s="29" t="s">
        <v>81</v>
      </c>
      <c r="C66" s="29"/>
      <c r="D66" s="29"/>
      <c r="E66" s="29"/>
      <c r="F66" s="29"/>
    </row>
    <row r="67" spans="1:6" s="17" customFormat="1" ht="26.4">
      <c r="A67" s="2"/>
      <c r="B67" s="2" t="s">
        <v>82</v>
      </c>
      <c r="C67" s="2" t="s">
        <v>83</v>
      </c>
      <c r="D67" s="2" t="s">
        <v>84</v>
      </c>
      <c r="E67" s="2" t="s">
        <v>85</v>
      </c>
      <c r="F67" s="2" t="s">
        <v>86</v>
      </c>
    </row>
    <row r="68" spans="1:6" ht="22.35" customHeight="1">
      <c r="A68" s="7" t="s">
        <v>87</v>
      </c>
      <c r="B68" s="1"/>
      <c r="C68" s="7"/>
      <c r="D68" s="7"/>
      <c r="E68" s="7"/>
      <c r="F68" s="7"/>
    </row>
    <row r="69" spans="1:6" ht="22.35" customHeight="1">
      <c r="A69" s="7" t="s">
        <v>88</v>
      </c>
      <c r="B69" s="1"/>
      <c r="C69" s="7"/>
      <c r="D69" s="7"/>
      <c r="E69" s="7"/>
      <c r="F69" s="7"/>
    </row>
  </sheetData>
  <mergeCells count="11">
    <mergeCell ref="B66:F66"/>
    <mergeCell ref="A49:A50"/>
    <mergeCell ref="A51:A52"/>
    <mergeCell ref="A53:A54"/>
    <mergeCell ref="A55:A56"/>
    <mergeCell ref="A57:A58"/>
    <mergeCell ref="A31:A32"/>
    <mergeCell ref="A34:A35"/>
    <mergeCell ref="A37:A38"/>
    <mergeCell ref="A40:A41"/>
    <mergeCell ref="A43:A44"/>
  </mergeCell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0"/>
  <sheetViews>
    <sheetView topLeftCell="A35" zoomScale="120" zoomScaleNormal="120" workbookViewId="0">
      <selection activeCell="H36" sqref="H36"/>
    </sheetView>
  </sheetViews>
  <sheetFormatPr defaultColWidth="11.6640625" defaultRowHeight="13.2"/>
  <sheetData>
    <row r="1" spans="1:7" ht="39.6">
      <c r="A1" s="2" t="s">
        <v>61</v>
      </c>
      <c r="B1" s="2" t="s">
        <v>62</v>
      </c>
      <c r="C1" s="2" t="s">
        <v>63</v>
      </c>
      <c r="D1" s="2" t="s">
        <v>64</v>
      </c>
      <c r="E1" s="2" t="s">
        <v>47</v>
      </c>
      <c r="F1" s="2" t="s">
        <v>48</v>
      </c>
      <c r="G1" s="2" t="s">
        <v>49</v>
      </c>
    </row>
    <row r="2" spans="1:7">
      <c r="A2" s="29" t="s">
        <v>65</v>
      </c>
      <c r="B2" s="1" t="s">
        <v>133</v>
      </c>
      <c r="C2" s="15">
        <v>57.601352999999889</v>
      </c>
      <c r="D2" s="15">
        <v>5.7601352999999888E-3</v>
      </c>
      <c r="E2" s="15">
        <v>4.0085785541007632E-3</v>
      </c>
      <c r="F2" s="15">
        <v>0.26866499999999999</v>
      </c>
      <c r="G2" s="15">
        <v>2.5339999999999998E-3</v>
      </c>
    </row>
    <row r="3" spans="1:7">
      <c r="A3" s="29"/>
      <c r="B3" s="1" t="s">
        <v>134</v>
      </c>
      <c r="C3" s="15">
        <v>53.71132799999981</v>
      </c>
      <c r="D3" s="15">
        <v>5.371132799999981E-3</v>
      </c>
      <c r="E3" s="15">
        <v>3.2127118181821158E-3</v>
      </c>
      <c r="F3" s="15">
        <v>0.219832</v>
      </c>
      <c r="G3" s="15">
        <v>2.8370000000000001E-3</v>
      </c>
    </row>
    <row r="4" spans="1:7">
      <c r="A4" s="1"/>
      <c r="B4" s="1"/>
      <c r="C4" s="18">
        <f>(C3-C2)/C2</f>
        <v>-6.7533569914583202E-2</v>
      </c>
      <c r="D4" s="18">
        <f>(D3-D2)/D2</f>
        <v>-6.7533569914583175E-2</v>
      </c>
      <c r="E4" s="18"/>
      <c r="F4" s="18">
        <f>(F3-F2)/F2</f>
        <v>-0.18176167345951275</v>
      </c>
      <c r="G4" s="18">
        <f>(G3-G2)/G2</f>
        <v>0.11957379636937661</v>
      </c>
    </row>
    <row r="5" spans="1:7">
      <c r="A5" s="29" t="s">
        <v>66</v>
      </c>
      <c r="B5" s="1" t="s">
        <v>133</v>
      </c>
      <c r="C5" s="13">
        <v>26.620588000000065</v>
      </c>
      <c r="D5" s="13">
        <v>2.6620588000000065E-3</v>
      </c>
      <c r="E5" s="13">
        <v>8.0107906108496413E-4</v>
      </c>
      <c r="F5" s="13">
        <v>2.1017999999999998E-2</v>
      </c>
      <c r="G5" s="13">
        <v>1.72E-3</v>
      </c>
    </row>
    <row r="6" spans="1:7">
      <c r="A6" s="29"/>
      <c r="B6" s="1" t="s">
        <v>134</v>
      </c>
      <c r="C6" s="13">
        <v>53.111542999999799</v>
      </c>
      <c r="D6" s="13">
        <v>5.3111542999999799E-3</v>
      </c>
      <c r="E6" s="13">
        <v>9.2999042031279969E-2</v>
      </c>
      <c r="F6" s="13">
        <v>4.3739350000000004</v>
      </c>
      <c r="G6" s="13">
        <v>1.449E-3</v>
      </c>
    </row>
    <row r="7" spans="1:7">
      <c r="A7" s="1"/>
      <c r="B7" s="1"/>
      <c r="C7" s="18">
        <f>(C6-C5)/C5</f>
        <v>0.99513034798478783</v>
      </c>
      <c r="D7" s="18">
        <f>(D6-D5)/D5</f>
        <v>0.99513034798478794</v>
      </c>
      <c r="E7" s="18"/>
      <c r="F7" s="18">
        <f>(F6-F5)/F5</f>
        <v>207.10424398134936</v>
      </c>
      <c r="G7" s="18">
        <f>(G6-G5)/G5</f>
        <v>-0.15755813953488371</v>
      </c>
    </row>
    <row r="8" spans="1:7">
      <c r="A8" s="29" t="s">
        <v>67</v>
      </c>
      <c r="B8" s="1" t="s">
        <v>133</v>
      </c>
      <c r="C8" s="13">
        <v>26.942786000000012</v>
      </c>
      <c r="D8" s="13">
        <v>2.6942786000000011E-3</v>
      </c>
      <c r="E8" s="13">
        <v>4.2692465372922185E-3</v>
      </c>
      <c r="F8" s="13">
        <v>0.16193199999999999</v>
      </c>
      <c r="G8" s="13">
        <v>1.5870000000000001E-3</v>
      </c>
    </row>
    <row r="9" spans="1:7">
      <c r="A9" s="29"/>
      <c r="B9" s="1" t="s">
        <v>134</v>
      </c>
      <c r="C9" s="13">
        <v>21.744990000000186</v>
      </c>
      <c r="D9" s="13">
        <v>2.1744990000000185E-3</v>
      </c>
      <c r="E9" s="13">
        <v>8.4584635791916374E-4</v>
      </c>
      <c r="F9" s="13">
        <v>2.6633E-2</v>
      </c>
      <c r="G9" s="13">
        <v>1.4040000000000001E-3</v>
      </c>
    </row>
    <row r="10" spans="1:7">
      <c r="A10" s="1"/>
      <c r="B10" s="1"/>
      <c r="C10" s="18">
        <f>(C9-C8)/C8</f>
        <v>-0.19291976709460648</v>
      </c>
      <c r="D10" s="18">
        <f>(D9-D8)/D8</f>
        <v>-0.19291976709460645</v>
      </c>
      <c r="E10" s="18"/>
      <c r="F10" s="18">
        <f>(F9-F8)/F8</f>
        <v>-0.83552972852802421</v>
      </c>
      <c r="G10" s="18">
        <f>(G9-G8)/G8</f>
        <v>-0.11531190926275992</v>
      </c>
    </row>
    <row r="11" spans="1:7">
      <c r="A11" s="29" t="s">
        <v>68</v>
      </c>
      <c r="B11" s="1" t="s">
        <v>133</v>
      </c>
      <c r="C11" s="13">
        <v>1513.1188239999942</v>
      </c>
      <c r="D11" s="13">
        <v>0.15131188239999943</v>
      </c>
      <c r="E11" s="13">
        <v>8.1291443979237224E-2</v>
      </c>
      <c r="F11" s="13">
        <v>0.43656200000000001</v>
      </c>
      <c r="G11" s="13">
        <v>1.2541999999999999E-2</v>
      </c>
    </row>
    <row r="12" spans="1:7">
      <c r="A12" s="29"/>
      <c r="B12" s="1" t="s">
        <v>134</v>
      </c>
      <c r="C12" s="13">
        <v>2466.7291629999968</v>
      </c>
      <c r="D12" s="13">
        <v>0.24667291629999968</v>
      </c>
      <c r="E12" s="13">
        <v>0.13116445234919705</v>
      </c>
      <c r="F12" s="13">
        <v>0.69870600000000005</v>
      </c>
      <c r="G12" s="13">
        <v>1.1377E-2</v>
      </c>
    </row>
    <row r="13" spans="1:7">
      <c r="A13" s="1"/>
      <c r="B13" s="1"/>
      <c r="C13" s="18">
        <f>(C12-C11)/C11</f>
        <v>0.6302283230335427</v>
      </c>
      <c r="D13" s="18">
        <f>(D12-D11)/D11</f>
        <v>0.63022832303354259</v>
      </c>
      <c r="E13" s="18"/>
      <c r="F13" s="18">
        <f>(F12-F11)/F11</f>
        <v>0.60047370132993716</v>
      </c>
      <c r="G13" s="18">
        <f>(G12-G11)/G11</f>
        <v>-9.2887896667198169E-2</v>
      </c>
    </row>
    <row r="14" spans="1:7">
      <c r="A14" s="29" t="s">
        <v>69</v>
      </c>
      <c r="B14" s="1" t="s">
        <v>133</v>
      </c>
      <c r="C14" s="13">
        <v>37.218243999999963</v>
      </c>
      <c r="D14" s="13">
        <v>3.7218243999999961E-3</v>
      </c>
      <c r="E14" s="13">
        <v>3.4909382838965979E-3</v>
      </c>
      <c r="F14" s="13">
        <v>0.31836100000000001</v>
      </c>
      <c r="G14" s="13">
        <v>2.3E-3</v>
      </c>
    </row>
    <row r="15" spans="1:7">
      <c r="A15" s="29"/>
      <c r="B15" s="1" t="s">
        <v>134</v>
      </c>
      <c r="C15" s="13">
        <v>34.897714000000072</v>
      </c>
      <c r="D15" s="13">
        <v>3.4897714000000071E-3</v>
      </c>
      <c r="E15" s="13">
        <v>1.4211727979926345E-3</v>
      </c>
      <c r="F15" s="13">
        <v>6.5393000000000007E-2</v>
      </c>
      <c r="G15" s="13">
        <v>2.0720000000000001E-3</v>
      </c>
    </row>
    <row r="16" spans="1:7">
      <c r="C16" s="18">
        <f>(C15-C14)/C14</f>
        <v>-6.234926075501826E-2</v>
      </c>
      <c r="D16" s="18">
        <f>(D15-D14)/D14</f>
        <v>-6.2349260755018225E-2</v>
      </c>
      <c r="E16" s="18"/>
      <c r="F16" s="18">
        <f>(F15-F14)/F14</f>
        <v>-0.79459481531971554</v>
      </c>
      <c r="G16" s="18">
        <f>(G15-G14)/G14</f>
        <v>-9.9130434782608662E-2</v>
      </c>
    </row>
    <row r="18" spans="2:7">
      <c r="C18" t="s">
        <v>133</v>
      </c>
      <c r="D18" t="s">
        <v>134</v>
      </c>
      <c r="E18" t="s">
        <v>135</v>
      </c>
      <c r="F18" t="s">
        <v>133</v>
      </c>
      <c r="G18" t="s">
        <v>134</v>
      </c>
    </row>
    <row r="19" spans="2:7">
      <c r="C19" s="13">
        <f>C2</f>
        <v>57.601352999999889</v>
      </c>
      <c r="D19" s="13">
        <f>C3</f>
        <v>53.71132799999981</v>
      </c>
      <c r="E19" s="21">
        <f>(D19-C19)/C19</f>
        <v>-6.7533569914583202E-2</v>
      </c>
      <c r="F19">
        <f>LOG(C19)</f>
        <v>1.7604326846998237</v>
      </c>
      <c r="G19">
        <f t="shared" ref="F19:G23" si="0">LOG(D19)</f>
        <v>1.7300658903375534</v>
      </c>
    </row>
    <row r="20" spans="2:7">
      <c r="C20" s="13">
        <f>C5</f>
        <v>26.620588000000065</v>
      </c>
      <c r="D20" s="13">
        <f>C6</f>
        <v>53.111542999999799</v>
      </c>
      <c r="E20" s="21">
        <f>(D20-C20)/C20</f>
        <v>0.99513034798478783</v>
      </c>
      <c r="F20">
        <f t="shared" si="0"/>
        <v>1.4252176440137536</v>
      </c>
      <c r="G20">
        <f t="shared" si="0"/>
        <v>1.7251889187539378</v>
      </c>
    </row>
    <row r="21" spans="2:7">
      <c r="C21" s="13">
        <f>C8</f>
        <v>26.942786000000012</v>
      </c>
      <c r="D21" s="13">
        <f>C9</f>
        <v>21.744990000000186</v>
      </c>
      <c r="E21" s="21">
        <f>(D21-C21)/C21</f>
        <v>-0.19291976709460648</v>
      </c>
      <c r="F21">
        <f t="shared" si="0"/>
        <v>1.4304425016270448</v>
      </c>
      <c r="G21">
        <f t="shared" si="0"/>
        <v>1.3373592122797757</v>
      </c>
    </row>
    <row r="22" spans="2:7">
      <c r="C22" s="13">
        <f>C11</f>
        <v>1513.1188239999942</v>
      </c>
      <c r="D22" s="13">
        <f>C12</f>
        <v>2466.7291629999968</v>
      </c>
      <c r="E22" s="21">
        <f>(D22-C22)/C22</f>
        <v>0.6302283230335427</v>
      </c>
      <c r="F22">
        <f t="shared" si="0"/>
        <v>3.1798730341575081</v>
      </c>
      <c r="G22">
        <f t="shared" si="0"/>
        <v>3.3921214683095053</v>
      </c>
    </row>
    <row r="23" spans="2:7">
      <c r="C23" s="13">
        <f>C14</f>
        <v>37.218243999999963</v>
      </c>
      <c r="D23" s="13">
        <f>C15</f>
        <v>34.897714000000072</v>
      </c>
      <c r="E23" s="21">
        <f>(D23-C23)/C23</f>
        <v>-6.234926075501826E-2</v>
      </c>
      <c r="F23">
        <f t="shared" si="0"/>
        <v>1.5707558787598037</v>
      </c>
      <c r="G23">
        <f t="shared" si="0"/>
        <v>1.5427969791167204</v>
      </c>
    </row>
    <row r="25" spans="2:7">
      <c r="C25" t="s">
        <v>136</v>
      </c>
      <c r="D25" t="s">
        <v>137</v>
      </c>
      <c r="F25" t="s">
        <v>138</v>
      </c>
      <c r="G25" t="s">
        <v>139</v>
      </c>
    </row>
    <row r="26" spans="2:7">
      <c r="B26" s="21"/>
      <c r="C26" s="21">
        <f>C4</f>
        <v>-6.7533569914583202E-2</v>
      </c>
      <c r="D26" s="21">
        <f>D4</f>
        <v>-6.7533569914583175E-2</v>
      </c>
      <c r="E26" s="21">
        <f>E4</f>
        <v>0</v>
      </c>
      <c r="F26" s="21">
        <f>F4</f>
        <v>-0.18176167345951275</v>
      </c>
      <c r="G26" s="21">
        <f>G4</f>
        <v>0.11957379636937661</v>
      </c>
    </row>
    <row r="27" spans="2:7">
      <c r="B27" s="21"/>
      <c r="C27" s="21">
        <f>C7</f>
        <v>0.99513034798478783</v>
      </c>
      <c r="D27" s="21">
        <f>D7</f>
        <v>0.99513034798478794</v>
      </c>
      <c r="E27" s="21">
        <f>E7</f>
        <v>0</v>
      </c>
      <c r="F27" s="21">
        <f>F7</f>
        <v>207.10424398134936</v>
      </c>
      <c r="G27" s="21">
        <f>G7</f>
        <v>-0.15755813953488371</v>
      </c>
    </row>
    <row r="28" spans="2:7">
      <c r="C28" s="21">
        <f>C10</f>
        <v>-0.19291976709460648</v>
      </c>
      <c r="D28" s="21">
        <f>D10</f>
        <v>-0.19291976709460645</v>
      </c>
      <c r="E28" s="21">
        <f>E10</f>
        <v>0</v>
      </c>
      <c r="F28" s="21">
        <f>F10</f>
        <v>-0.83552972852802421</v>
      </c>
      <c r="G28" s="21">
        <f>G10</f>
        <v>-0.11531190926275992</v>
      </c>
    </row>
    <row r="29" spans="2:7">
      <c r="C29" s="21">
        <f>C13</f>
        <v>0.6302283230335427</v>
      </c>
      <c r="D29" s="21">
        <f>D13</f>
        <v>0.63022832303354259</v>
      </c>
      <c r="E29" s="21">
        <f>E13</f>
        <v>0</v>
      </c>
      <c r="F29" s="21">
        <f>F13</f>
        <v>0.60047370132993716</v>
      </c>
      <c r="G29" s="21">
        <f>G13</f>
        <v>-9.2887896667198169E-2</v>
      </c>
    </row>
    <row r="30" spans="2:7">
      <c r="C30" s="21">
        <f>C16</f>
        <v>-6.234926075501826E-2</v>
      </c>
      <c r="D30" s="21">
        <f>D16</f>
        <v>-6.2349260755018225E-2</v>
      </c>
      <c r="E30" s="21">
        <f>E16</f>
        <v>0</v>
      </c>
      <c r="F30" s="21">
        <f>F16</f>
        <v>-0.79459481531971554</v>
      </c>
      <c r="G30" s="21">
        <f>G16</f>
        <v>-9.9130434782608662E-2</v>
      </c>
    </row>
  </sheetData>
  <mergeCells count="5">
    <mergeCell ref="A2:A3"/>
    <mergeCell ref="A5:A6"/>
    <mergeCell ref="A8:A9"/>
    <mergeCell ref="A11:A12"/>
    <mergeCell ref="A14:A15"/>
  </mergeCell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3"/>
  <sheetViews>
    <sheetView tabSelected="1" zoomScale="120" zoomScaleNormal="120" workbookViewId="0">
      <selection activeCell="A2" sqref="A2"/>
    </sheetView>
  </sheetViews>
  <sheetFormatPr defaultColWidth="11.5546875" defaultRowHeight="13.2"/>
  <cols>
    <col min="2" max="3" width="11.5546875" style="21"/>
  </cols>
  <sheetData>
    <row r="1" spans="1:5" ht="26.4">
      <c r="A1" s="2" t="s">
        <v>62</v>
      </c>
      <c r="B1" s="22" t="s">
        <v>71</v>
      </c>
      <c r="C1" s="23" t="s">
        <v>72</v>
      </c>
      <c r="D1" s="2" t="s">
        <v>73</v>
      </c>
      <c r="E1" s="5" t="s">
        <v>74</v>
      </c>
    </row>
    <row r="2" spans="1:5">
      <c r="A2" s="1">
        <v>0.1</v>
      </c>
      <c r="B2" s="18">
        <v>0.52724390243902441</v>
      </c>
      <c r="C2" s="18">
        <v>0.23281707317073178</v>
      </c>
      <c r="D2" s="13">
        <v>3.4500000000000011</v>
      </c>
      <c r="E2" s="13">
        <v>8.2699999999999978</v>
      </c>
    </row>
    <row r="3" spans="1:5">
      <c r="A3" s="1">
        <v>0.2</v>
      </c>
      <c r="B3" s="21">
        <v>0.45813157894736839</v>
      </c>
      <c r="C3" s="24">
        <v>0.24905263157894733</v>
      </c>
      <c r="D3" s="15">
        <v>3.41</v>
      </c>
      <c r="E3" s="13">
        <v>8.26</v>
      </c>
    </row>
    <row r="4" spans="1:5" s="21" customFormat="1">
      <c r="A4" s="25"/>
      <c r="B4" s="24">
        <f>B3-B2</f>
        <v>-6.9112323491656025E-2</v>
      </c>
      <c r="C4" s="24">
        <f>C3-C2</f>
        <v>1.6235558408215556E-2</v>
      </c>
      <c r="D4" s="24">
        <f>(D3-D2)/D2</f>
        <v>-1.1594202898550988E-2</v>
      </c>
      <c r="E4" s="24">
        <f>(E3-E2)/E2</f>
        <v>-1.2091898428050801E-3</v>
      </c>
    </row>
    <row r="5" spans="1:5">
      <c r="A5" s="1">
        <v>0.1</v>
      </c>
      <c r="B5" s="18">
        <v>0.27351851851851849</v>
      </c>
      <c r="C5" s="18">
        <v>0.25524074074074071</v>
      </c>
      <c r="D5" s="13">
        <v>3.450000000000002</v>
      </c>
      <c r="E5" s="13">
        <v>8.2700000000000031</v>
      </c>
    </row>
    <row r="6" spans="1:5">
      <c r="A6" s="1">
        <v>0.2</v>
      </c>
      <c r="B6" s="18">
        <v>0.89108333333333334</v>
      </c>
      <c r="C6" s="18">
        <v>0.2678638888888889</v>
      </c>
      <c r="D6" s="13">
        <v>3.4300000000000033</v>
      </c>
      <c r="E6" s="13">
        <v>8.2700000000000014</v>
      </c>
    </row>
    <row r="7" spans="1:5" s="21" customFormat="1">
      <c r="A7" s="25"/>
      <c r="B7" s="24">
        <f>B6-B5</f>
        <v>0.61756481481481484</v>
      </c>
      <c r="C7" s="24">
        <f>C6-C5</f>
        <v>1.2623148148148189E-2</v>
      </c>
      <c r="D7" s="24">
        <f>(D6-D5)/D5</f>
        <v>-5.7971014492749781E-3</v>
      </c>
      <c r="E7" s="24">
        <f>(E6-E5)/E5</f>
        <v>-2.1479526474005438E-16</v>
      </c>
    </row>
    <row r="8" spans="1:5">
      <c r="A8" s="1">
        <v>0.1</v>
      </c>
      <c r="B8" s="18">
        <v>0.32157692307692309</v>
      </c>
      <c r="C8" s="18">
        <v>0.25726538461538462</v>
      </c>
      <c r="D8" s="13">
        <v>3.450000000000002</v>
      </c>
      <c r="E8" s="13">
        <v>8.2700000000000031</v>
      </c>
    </row>
    <row r="9" spans="1:5">
      <c r="A9" s="1">
        <v>0.2</v>
      </c>
      <c r="B9" s="18">
        <v>0.25620833333333337</v>
      </c>
      <c r="C9" s="18">
        <v>0.26754583333333332</v>
      </c>
      <c r="D9" s="13">
        <v>3.4300000000000015</v>
      </c>
      <c r="E9" s="13">
        <v>8.2700000000000014</v>
      </c>
    </row>
    <row r="10" spans="1:5" s="21" customFormat="1">
      <c r="A10" s="25"/>
      <c r="B10" s="24">
        <f>B9-B8</f>
        <v>-6.5368589743589722E-2</v>
      </c>
      <c r="C10" s="24">
        <f>C9-C8</f>
        <v>1.0280448717948698E-2</v>
      </c>
      <c r="D10" s="24">
        <f>(D9-D8)/D8</f>
        <v>-5.7971014492754925E-3</v>
      </c>
      <c r="E10" s="24">
        <f>(E9-E8)/E8</f>
        <v>-2.1479526474005438E-16</v>
      </c>
    </row>
    <row r="11" spans="1:5">
      <c r="A11" s="1">
        <v>0.1</v>
      </c>
      <c r="B11" s="18">
        <v>0.63566097560975587</v>
      </c>
      <c r="C11" s="18">
        <v>0.3086190243902438</v>
      </c>
      <c r="D11" s="13">
        <v>3.4500000000000259</v>
      </c>
      <c r="E11" s="13">
        <v>8.2620000000000804</v>
      </c>
    </row>
    <row r="12" spans="1:5">
      <c r="A12" s="1">
        <v>0.2</v>
      </c>
      <c r="B12" s="18">
        <v>0.72737201907790383</v>
      </c>
      <c r="C12" s="18">
        <v>0.27057869634340143</v>
      </c>
      <c r="D12" s="13">
        <v>3.4379650238474193</v>
      </c>
      <c r="E12" s="13">
        <v>8.2700000000000795</v>
      </c>
    </row>
    <row r="13" spans="1:5" s="21" customFormat="1">
      <c r="A13" s="25"/>
      <c r="B13" s="24">
        <f>B12-B11</f>
        <v>9.1711043468147957E-2</v>
      </c>
      <c r="C13" s="24">
        <f>C12-C11</f>
        <v>-3.8040328046842375E-2</v>
      </c>
      <c r="D13" s="24">
        <f>(D12-D11)/D11</f>
        <v>-3.4883988848134883E-3</v>
      </c>
      <c r="E13" s="24">
        <f>(E12-E11)/E11</f>
        <v>9.6828854998778034E-4</v>
      </c>
    </row>
    <row r="14" spans="1:5">
      <c r="A14" s="1">
        <v>0.1</v>
      </c>
      <c r="B14" s="18">
        <v>0.39029999999999998</v>
      </c>
      <c r="C14" s="18">
        <v>0.31849333333333335</v>
      </c>
      <c r="D14" s="13">
        <v>3.450000000000002</v>
      </c>
      <c r="E14" s="13">
        <v>8.2599999999999962</v>
      </c>
    </row>
    <row r="15" spans="1:5">
      <c r="A15" s="1">
        <v>0.2</v>
      </c>
      <c r="B15" s="18">
        <v>0.41576666666666667</v>
      </c>
      <c r="C15" s="24">
        <v>0.2717066666666666</v>
      </c>
      <c r="D15" s="15">
        <v>3.4409999999999994</v>
      </c>
      <c r="E15" s="15">
        <v>8.2700000000000031</v>
      </c>
    </row>
    <row r="16" spans="1:5" s="21" customFormat="1">
      <c r="B16" s="24">
        <f>B15-B14</f>
        <v>2.5466666666666693E-2</v>
      </c>
      <c r="C16" s="24">
        <f>C15-C14</f>
        <v>-4.6786666666666754E-2</v>
      </c>
      <c r="D16" s="24">
        <f>(D15-D14)/D14</f>
        <v>-2.608695652174654E-3</v>
      </c>
      <c r="E16" s="24">
        <f>(E15-E14)/E14</f>
        <v>1.2106537530274693E-3</v>
      </c>
    </row>
    <row r="18" spans="2:5">
      <c r="B18" s="21" t="s">
        <v>140</v>
      </c>
      <c r="C18" s="21" t="s">
        <v>141</v>
      </c>
      <c r="D18" t="s">
        <v>142</v>
      </c>
      <c r="E18" t="s">
        <v>143</v>
      </c>
    </row>
    <row r="19" spans="2:5">
      <c r="B19" s="21">
        <f>B4</f>
        <v>-6.9112323491656025E-2</v>
      </c>
      <c r="C19" s="21">
        <f>C4</f>
        <v>1.6235558408215556E-2</v>
      </c>
      <c r="D19" s="21">
        <f>D4</f>
        <v>-1.1594202898550988E-2</v>
      </c>
      <c r="E19" s="21">
        <f>E4</f>
        <v>-1.2091898428050801E-3</v>
      </c>
    </row>
    <row r="20" spans="2:5">
      <c r="B20" s="21">
        <f>B7</f>
        <v>0.61756481481481484</v>
      </c>
      <c r="C20" s="21">
        <f>C7</f>
        <v>1.2623148148148189E-2</v>
      </c>
      <c r="D20" s="21">
        <f>D7</f>
        <v>-5.7971014492749781E-3</v>
      </c>
      <c r="E20" s="21">
        <f>E7</f>
        <v>-2.1479526474005438E-16</v>
      </c>
    </row>
    <row r="21" spans="2:5">
      <c r="B21" s="21">
        <f>B10</f>
        <v>-6.5368589743589722E-2</v>
      </c>
      <c r="C21" s="21">
        <f>C10</f>
        <v>1.0280448717948698E-2</v>
      </c>
      <c r="D21" s="21">
        <f>D10</f>
        <v>-5.7971014492754925E-3</v>
      </c>
      <c r="E21" s="21">
        <f>E10</f>
        <v>-2.1479526474005438E-16</v>
      </c>
    </row>
    <row r="22" spans="2:5">
      <c r="B22" s="21">
        <f>B13</f>
        <v>9.1711043468147957E-2</v>
      </c>
      <c r="C22" s="21">
        <f>C13</f>
        <v>-3.8040328046842375E-2</v>
      </c>
      <c r="D22" s="21">
        <f>D13</f>
        <v>-3.4883988848134883E-3</v>
      </c>
      <c r="E22" s="21">
        <f>E13</f>
        <v>9.6828854998778034E-4</v>
      </c>
    </row>
    <row r="23" spans="2:5">
      <c r="B23" s="21">
        <f>B16</f>
        <v>2.5466666666666693E-2</v>
      </c>
      <c r="C23" s="21">
        <f>C16</f>
        <v>-4.6786666666666754E-2</v>
      </c>
      <c r="D23" s="21">
        <f>D16</f>
        <v>-2.608695652174654E-3</v>
      </c>
      <c r="E23" s="21">
        <f>E16</f>
        <v>1.2106537530274693E-3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5"/>
  <sheetViews>
    <sheetView topLeftCell="A55" zoomScale="160" zoomScaleNormal="160" workbookViewId="0">
      <selection activeCell="A44" activeCellId="1" sqref="C2:G16 A44"/>
    </sheetView>
  </sheetViews>
  <sheetFormatPr defaultColWidth="11.77734375" defaultRowHeight="13.2"/>
  <cols>
    <col min="1" max="1" width="77.21875" customWidth="1"/>
  </cols>
  <sheetData>
    <row r="1" spans="1:2" ht="15.6">
      <c r="A1" s="19" t="s">
        <v>90</v>
      </c>
      <c r="B1" s="20"/>
    </row>
    <row r="2" spans="1:2" ht="15.6">
      <c r="A2" s="20"/>
    </row>
    <row r="3" spans="1:2" ht="15.6">
      <c r="A3" s="20"/>
    </row>
    <row r="4" spans="1:2" ht="15.6">
      <c r="A4" s="20"/>
    </row>
    <row r="5" spans="1:2" ht="15.6">
      <c r="A5" s="20"/>
    </row>
    <row r="6" spans="1:2" ht="15.6">
      <c r="A6" s="20"/>
    </row>
    <row r="7" spans="1:2" ht="15.6">
      <c r="A7" s="20"/>
    </row>
    <row r="8" spans="1:2" ht="15.6">
      <c r="A8" s="20"/>
    </row>
    <row r="9" spans="1:2" ht="15.6">
      <c r="A9" s="20"/>
    </row>
    <row r="10" spans="1:2" ht="15.6">
      <c r="A10" s="20"/>
    </row>
    <row r="11" spans="1:2" ht="15.6">
      <c r="A11" s="20"/>
    </row>
    <row r="12" spans="1:2" ht="15.6">
      <c r="A12" s="20"/>
    </row>
    <row r="13" spans="1:2" ht="15.6">
      <c r="A13" s="20"/>
    </row>
    <row r="14" spans="1:2" ht="15.6">
      <c r="A14" s="20"/>
    </row>
    <row r="15" spans="1:2" ht="15.6">
      <c r="A15" s="20"/>
    </row>
    <row r="16" spans="1:2" ht="15.6">
      <c r="A16" s="20"/>
    </row>
    <row r="17" spans="1:1" ht="15.6">
      <c r="A17" s="20"/>
    </row>
    <row r="18" spans="1:1" ht="15.6">
      <c r="A18" s="20"/>
    </row>
    <row r="19" spans="1:1" ht="15.6">
      <c r="A19" s="20"/>
    </row>
    <row r="20" spans="1:1" ht="15.6">
      <c r="A20" s="20"/>
    </row>
    <row r="21" spans="1:1" ht="15.6">
      <c r="A21" s="20"/>
    </row>
    <row r="22" spans="1:1" ht="15.6">
      <c r="A22" s="20"/>
    </row>
    <row r="23" spans="1:1" ht="15.6">
      <c r="A23" s="20"/>
    </row>
    <row r="24" spans="1:1" ht="15.6">
      <c r="A24" s="20"/>
    </row>
    <row r="25" spans="1:1" ht="15.6">
      <c r="A25" s="20"/>
    </row>
    <row r="26" spans="1:1" ht="15.6">
      <c r="A26" s="20"/>
    </row>
    <row r="27" spans="1:1" ht="15.6">
      <c r="A27" s="20"/>
    </row>
    <row r="28" spans="1:1" ht="15.6">
      <c r="A28" s="20"/>
    </row>
    <row r="29" spans="1:1" ht="15.6">
      <c r="A29" s="20"/>
    </row>
    <row r="30" spans="1:1" ht="15.6">
      <c r="A30" s="20"/>
    </row>
    <row r="31" spans="1:1" ht="15.6">
      <c r="A31" s="20"/>
    </row>
    <row r="32" spans="1:1" ht="15.6">
      <c r="A32" s="20"/>
    </row>
    <row r="33" spans="1:2" ht="15.6">
      <c r="A33" s="20"/>
    </row>
    <row r="34" spans="1:2" ht="15.6">
      <c r="A34" s="20"/>
    </row>
    <row r="35" spans="1:2" ht="15.6">
      <c r="A35" s="20"/>
    </row>
    <row r="36" spans="1:2" ht="15.6">
      <c r="A36" s="20"/>
    </row>
    <row r="37" spans="1:2" ht="15.6">
      <c r="A37" s="20"/>
    </row>
    <row r="38" spans="1:2" ht="15.6">
      <c r="A38" s="20"/>
    </row>
    <row r="39" spans="1:2" ht="15.6">
      <c r="A39" s="20"/>
    </row>
    <row r="40" spans="1:2" ht="15.6">
      <c r="A40" s="20"/>
    </row>
    <row r="41" spans="1:2" ht="15.6">
      <c r="A41" s="20"/>
    </row>
    <row r="42" spans="1:2" ht="15.6">
      <c r="A42" s="20"/>
    </row>
    <row r="43" spans="1:2" ht="15.6">
      <c r="A43" s="20"/>
    </row>
    <row r="44" spans="1:2" ht="15.6">
      <c r="A44" s="19" t="s">
        <v>91</v>
      </c>
      <c r="B44" s="20"/>
    </row>
    <row r="45" spans="1:2" ht="15.6">
      <c r="A45" s="19" t="s">
        <v>92</v>
      </c>
      <c r="B45" s="20"/>
    </row>
    <row r="46" spans="1:2" ht="15.6">
      <c r="A46" s="19" t="s">
        <v>93</v>
      </c>
      <c r="B46" s="20"/>
    </row>
    <row r="47" spans="1:2" ht="15.6">
      <c r="A47" s="19" t="s">
        <v>94</v>
      </c>
      <c r="B47" s="20"/>
    </row>
    <row r="48" spans="1:2" ht="15.6">
      <c r="A48" s="19" t="s">
        <v>95</v>
      </c>
      <c r="B48" s="20"/>
    </row>
    <row r="49" spans="1:2" ht="15.6">
      <c r="A49" s="19" t="s">
        <v>96</v>
      </c>
      <c r="B49" s="20"/>
    </row>
    <row r="50" spans="1:2" ht="15.6">
      <c r="A50" s="19" t="s">
        <v>97</v>
      </c>
      <c r="B50" s="20"/>
    </row>
    <row r="51" spans="1:2" ht="15.6">
      <c r="A51" s="19" t="s">
        <v>98</v>
      </c>
      <c r="B51" s="20"/>
    </row>
    <row r="52" spans="1:2" ht="15.6">
      <c r="A52" s="19" t="s">
        <v>99</v>
      </c>
      <c r="B52" s="20"/>
    </row>
    <row r="53" spans="1:2" ht="15.6">
      <c r="A53" s="19" t="s">
        <v>100</v>
      </c>
      <c r="B53" s="20"/>
    </row>
    <row r="54" spans="1:2" ht="15.6">
      <c r="A54" s="19" t="s">
        <v>101</v>
      </c>
      <c r="B54" s="20"/>
    </row>
    <row r="55" spans="1:2" ht="15.6">
      <c r="A55" s="19" t="s">
        <v>102</v>
      </c>
      <c r="B55" s="20"/>
    </row>
    <row r="56" spans="1:2" ht="15.6">
      <c r="A56" s="19" t="s">
        <v>103</v>
      </c>
      <c r="B56" s="20"/>
    </row>
    <row r="57" spans="1:2" ht="15.6">
      <c r="A57" s="19" t="s">
        <v>104</v>
      </c>
      <c r="B57" s="20"/>
    </row>
    <row r="58" spans="1:2" ht="15.6">
      <c r="A58" s="19" t="s">
        <v>105</v>
      </c>
      <c r="B58" s="20"/>
    </row>
    <row r="59" spans="1:2" ht="15.6">
      <c r="A59" s="19" t="s">
        <v>106</v>
      </c>
      <c r="B59" s="20"/>
    </row>
    <row r="60" spans="1:2" ht="15.6">
      <c r="A60" s="19" t="s">
        <v>107</v>
      </c>
      <c r="B60" s="20"/>
    </row>
    <row r="61" spans="1:2" ht="15.6">
      <c r="A61" s="19" t="s">
        <v>108</v>
      </c>
      <c r="B61" s="20"/>
    </row>
    <row r="62" spans="1:2" ht="15.6">
      <c r="A62" s="19" t="s">
        <v>109</v>
      </c>
      <c r="B62" s="20"/>
    </row>
    <row r="63" spans="1:2" ht="15.6">
      <c r="A63" s="19" t="s">
        <v>110</v>
      </c>
      <c r="B63" s="20"/>
    </row>
    <row r="64" spans="1:2" ht="15.6">
      <c r="A64" s="19" t="s">
        <v>111</v>
      </c>
      <c r="B64" s="20"/>
    </row>
    <row r="65" spans="1:2" ht="15.6">
      <c r="A65" s="19" t="s">
        <v>112</v>
      </c>
      <c r="B65" s="20"/>
    </row>
    <row r="66" spans="1:2" ht="15.6">
      <c r="A66" s="19" t="s">
        <v>113</v>
      </c>
      <c r="B66" s="20"/>
    </row>
    <row r="67" spans="1:2" ht="15.6">
      <c r="A67" s="19" t="s">
        <v>114</v>
      </c>
      <c r="B67" s="20"/>
    </row>
    <row r="68" spans="1:2" ht="15.6">
      <c r="A68" s="19" t="s">
        <v>115</v>
      </c>
      <c r="B68" s="20"/>
    </row>
    <row r="69" spans="1:2" ht="15.6">
      <c r="A69" s="19" t="s">
        <v>116</v>
      </c>
      <c r="B69" s="20"/>
    </row>
    <row r="70" spans="1:2" ht="15.6">
      <c r="A70" s="19" t="s">
        <v>117</v>
      </c>
      <c r="B70" s="20"/>
    </row>
    <row r="71" spans="1:2" ht="15.6">
      <c r="A71" s="19" t="s">
        <v>118</v>
      </c>
      <c r="B71" s="20"/>
    </row>
    <row r="72" spans="1:2" ht="15.6">
      <c r="A72" s="19" t="s">
        <v>119</v>
      </c>
      <c r="B72" s="20"/>
    </row>
    <row r="73" spans="1:2" ht="15.6">
      <c r="A73" s="19" t="s">
        <v>120</v>
      </c>
      <c r="B73" s="20"/>
    </row>
    <row r="74" spans="1:2" ht="15.6">
      <c r="A74" s="19" t="s">
        <v>121</v>
      </c>
      <c r="B74" s="20"/>
    </row>
    <row r="75" spans="1:2" ht="15.6">
      <c r="A75" s="19" t="s">
        <v>122</v>
      </c>
      <c r="B75" s="20"/>
    </row>
    <row r="76" spans="1:2" ht="15.6">
      <c r="A76" s="19" t="s">
        <v>123</v>
      </c>
      <c r="B76" s="20"/>
    </row>
    <row r="77" spans="1:2" ht="15.6">
      <c r="A77" s="19" t="s">
        <v>124</v>
      </c>
      <c r="B77" s="20"/>
    </row>
    <row r="78" spans="1:2" ht="15.6">
      <c r="A78" s="19" t="s">
        <v>125</v>
      </c>
      <c r="B78" s="20"/>
    </row>
    <row r="79" spans="1:2" ht="15.6">
      <c r="A79" s="19" t="s">
        <v>126</v>
      </c>
      <c r="B79" s="20"/>
    </row>
    <row r="80" spans="1:2" ht="15.6">
      <c r="A80" s="19" t="s">
        <v>127</v>
      </c>
      <c r="B80" s="20"/>
    </row>
    <row r="81" spans="1:2" ht="15.6">
      <c r="A81" s="19" t="s">
        <v>128</v>
      </c>
      <c r="B81" s="20"/>
    </row>
    <row r="82" spans="1:2" ht="15.6">
      <c r="A82" s="19" t="s">
        <v>129</v>
      </c>
      <c r="B82" s="20"/>
    </row>
    <row r="83" spans="1:2" ht="15.6">
      <c r="A83" s="19" t="s">
        <v>130</v>
      </c>
      <c r="B83" s="20"/>
    </row>
    <row r="84" spans="1:2" ht="15.6">
      <c r="A84" s="19" t="s">
        <v>131</v>
      </c>
      <c r="B84" s="20"/>
    </row>
    <row r="85" spans="1:2" ht="15.6">
      <c r="A85" s="19" t="s">
        <v>132</v>
      </c>
    </row>
  </sheetData>
  <hyperlinks>
    <hyperlink ref="A1" r:id="rId1" xr:uid="{00000000-0004-0000-0400-000000000000}"/>
    <hyperlink ref="A44" r:id="rId2" xr:uid="{00000000-0004-0000-0400-000001000000}"/>
    <hyperlink ref="A45" r:id="rId3" xr:uid="{00000000-0004-0000-0400-000002000000}"/>
    <hyperlink ref="A46" r:id="rId4" xr:uid="{00000000-0004-0000-0400-000003000000}"/>
    <hyperlink ref="A47" r:id="rId5" xr:uid="{00000000-0004-0000-0400-000004000000}"/>
    <hyperlink ref="A48" r:id="rId6" xr:uid="{00000000-0004-0000-0400-000005000000}"/>
    <hyperlink ref="A49" r:id="rId7" xr:uid="{00000000-0004-0000-0400-000006000000}"/>
    <hyperlink ref="A50" r:id="rId8" xr:uid="{00000000-0004-0000-0400-000007000000}"/>
    <hyperlink ref="A51" r:id="rId9" xr:uid="{00000000-0004-0000-0400-000008000000}"/>
    <hyperlink ref="A52" r:id="rId10" xr:uid="{00000000-0004-0000-0400-000009000000}"/>
    <hyperlink ref="A53" r:id="rId11" xr:uid="{00000000-0004-0000-0400-00000A000000}"/>
    <hyperlink ref="A54" r:id="rId12" xr:uid="{00000000-0004-0000-0400-00000B000000}"/>
    <hyperlink ref="A55" r:id="rId13" xr:uid="{00000000-0004-0000-0400-00000C000000}"/>
    <hyperlink ref="A56" r:id="rId14" xr:uid="{00000000-0004-0000-0400-00000D000000}"/>
    <hyperlink ref="A57" r:id="rId15" xr:uid="{00000000-0004-0000-0400-00000E000000}"/>
    <hyperlink ref="A58" r:id="rId16" xr:uid="{00000000-0004-0000-0400-00000F000000}"/>
    <hyperlink ref="A59" r:id="rId17" xr:uid="{00000000-0004-0000-0400-000010000000}"/>
    <hyperlink ref="A60" r:id="rId18" xr:uid="{00000000-0004-0000-0400-000011000000}"/>
    <hyperlink ref="A61" r:id="rId19" xr:uid="{00000000-0004-0000-0400-000012000000}"/>
    <hyperlink ref="A62" r:id="rId20" xr:uid="{00000000-0004-0000-0400-000013000000}"/>
    <hyperlink ref="A63" r:id="rId21" xr:uid="{00000000-0004-0000-0400-000014000000}"/>
    <hyperlink ref="A64" r:id="rId22" xr:uid="{00000000-0004-0000-0400-000015000000}"/>
    <hyperlink ref="A65" r:id="rId23" xr:uid="{00000000-0004-0000-0400-000016000000}"/>
    <hyperlink ref="A66" r:id="rId24" xr:uid="{00000000-0004-0000-0400-000017000000}"/>
    <hyperlink ref="A67" r:id="rId25" xr:uid="{00000000-0004-0000-0400-000018000000}"/>
    <hyperlink ref="A68" r:id="rId26" xr:uid="{00000000-0004-0000-0400-000019000000}"/>
    <hyperlink ref="A69" r:id="rId27" xr:uid="{00000000-0004-0000-0400-00001A000000}"/>
    <hyperlink ref="A70" r:id="rId28" xr:uid="{00000000-0004-0000-0400-00001B000000}"/>
    <hyperlink ref="A71" r:id="rId29" xr:uid="{00000000-0004-0000-0400-00001C000000}"/>
    <hyperlink ref="A72" r:id="rId30" xr:uid="{00000000-0004-0000-0400-00001D000000}"/>
    <hyperlink ref="A73" r:id="rId31" xr:uid="{00000000-0004-0000-0400-00001E000000}"/>
    <hyperlink ref="A74" r:id="rId32" xr:uid="{00000000-0004-0000-0400-00001F000000}"/>
    <hyperlink ref="A75" r:id="rId33" xr:uid="{00000000-0004-0000-0400-000020000000}"/>
    <hyperlink ref="A76" r:id="rId34" xr:uid="{00000000-0004-0000-0400-000021000000}"/>
    <hyperlink ref="A77" r:id="rId35" xr:uid="{00000000-0004-0000-0400-000022000000}"/>
    <hyperlink ref="A78" r:id="rId36" xr:uid="{00000000-0004-0000-0400-000023000000}"/>
    <hyperlink ref="A79" r:id="rId37" xr:uid="{00000000-0004-0000-0400-000024000000}"/>
    <hyperlink ref="A80" r:id="rId38" xr:uid="{00000000-0004-0000-0400-000025000000}"/>
    <hyperlink ref="A81" r:id="rId39" xr:uid="{00000000-0004-0000-0400-000026000000}"/>
    <hyperlink ref="A82" r:id="rId40" xr:uid="{00000000-0004-0000-0400-000027000000}"/>
    <hyperlink ref="A83" r:id="rId41" xr:uid="{00000000-0004-0000-0400-000028000000}"/>
    <hyperlink ref="A84" r:id="rId42" xr:uid="{00000000-0004-0000-0400-000029000000}"/>
    <hyperlink ref="A85" r:id="rId43" xr:uid="{00000000-0004-0000-0400-00002A000000}"/>
  </hyperlinks>
  <pageMargins left="0.78749999999999998" right="0.78749999999999998" top="1.0249999999999999" bottom="1.0249999999999999" header="0.78749999999999998" footer="0.78749999999999998"/>
  <pageSetup firstPageNumber="0" orientation="portrait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1388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Static Metrics</vt:lpstr>
      <vt:lpstr>Dynamic Metrics</vt:lpstr>
      <vt:lpstr>Dynamic Metrics_2</vt:lpstr>
      <vt:lpstr>Dynamic Metrics_3</vt:lpstr>
      <vt:lpstr>Table 6.3</vt:lpstr>
      <vt:lpstr>Table 6.4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Juan Sotomayor Paez</cp:lastModifiedBy>
  <cp:revision>36</cp:revision>
  <dcterms:created xsi:type="dcterms:W3CDTF">2024-02-03T16:20:26Z</dcterms:created>
  <dcterms:modified xsi:type="dcterms:W3CDTF">2024-05-15T17:25:05Z</dcterms:modified>
  <dc:language>en-US</dc:language>
</cp:coreProperties>
</file>